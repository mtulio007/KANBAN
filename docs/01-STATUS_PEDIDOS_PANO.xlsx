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DeTrabalho" hidePivotFieldList="1" defaultThemeVersion="124226"/>
  <bookViews>
    <workbookView xWindow="-120" yWindow="-120" windowWidth="20730" windowHeight="11040" tabRatio="384" activeTab="1"/>
  </bookViews>
  <sheets>
    <sheet name="BASE" sheetId="5" r:id="rId1"/>
    <sheet name="PANO" sheetId="1" r:id="rId2"/>
    <sheet name="Planilha2" sheetId="13" r:id="rId3"/>
    <sheet name="NECESSIDADE" sheetId="12" r:id="rId4"/>
    <sheet name="ESTOQUE" sheetId="9" state="hidden" r:id="rId5"/>
  </sheets>
  <definedNames>
    <definedName name="_Fill" hidden="1">#REF!</definedName>
    <definedName name="_xlnm._FilterDatabase" localSheetId="0" hidden="1">BASE!$B$2:$C$178</definedName>
    <definedName name="_xlnm._FilterDatabase" localSheetId="4" hidden="1">ESTOQUE!$A$4:$AW$17</definedName>
    <definedName name="_xlnm._FilterDatabase" localSheetId="1" hidden="1">PANO!$B$3:$I$156</definedName>
    <definedName name="_Parse_In" hidden="1">#REF!</definedName>
    <definedName name="_Parse_Out" hidden="1">#REF!</definedName>
    <definedName name="ada" hidden="1">#REF!</definedName>
    <definedName name="add" hidden="1">#REF!</definedName>
    <definedName name="_xlnm.Print_Area" localSheetId="0">BASE!$A$1:$D$178</definedName>
    <definedName name="_xlnm.Print_Area" localSheetId="4">ESTOQUE!$B$1:$F$15</definedName>
    <definedName name="_xlnm.Print_Area" localSheetId="1">PANO!$D$1:$I$214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#REF!</definedName>
    <definedName name="asd" hidden="1">#REF!</definedName>
    <definedName name="ASS" hidden="1">{"'COMBUSTÍVEIS'!$A$1:$K$88"}</definedName>
    <definedName name="BG_Del" hidden="1">15</definedName>
    <definedName name="BG_Ins" hidden="1">4</definedName>
    <definedName name="BG_Mod" hidden="1">6</definedName>
    <definedName name="COFINS" hidden="1">#REF!</definedName>
    <definedName name="CP">#REF!</definedName>
    <definedName name="daa" hidden="1">#REF!</definedName>
    <definedName name="dad" hidden="1">#REF!</definedName>
    <definedName name="dds" hidden="1">#REF!</definedName>
    <definedName name="dfdd" hidden="1">{#N/A,#N/A,FALSE,"Aging Summary";#N/A,#N/A,FALSE,"Ratio Analysis";#N/A,#N/A,FALSE,"Test 120 Day Accts";#N/A,#N/A,FALSE,"Tickmarks"}</definedName>
    <definedName name="DOARE" hidden="1">#REF!</definedName>
    <definedName name="DRA" hidden="1">#REF!</definedName>
    <definedName name="dsa" hidden="1">#REF!</definedName>
    <definedName name="EMp" hidden="1">#REF!</definedName>
    <definedName name="ewe" hidden="1">#REF!</definedName>
    <definedName name="ff" hidden="1">4</definedName>
    <definedName name="FITEC">#REF!</definedName>
    <definedName name="GDF" hidden="1">#REF!</definedName>
    <definedName name="gg" hidden="1">2</definedName>
    <definedName name="GGHHH\" hidden="1">3</definedName>
    <definedName name="ggj" hidden="1">{"'COMBUSTÍVEIS'!$A$1:$K$88"}</definedName>
    <definedName name="GS" hidden="1">#REF!</definedName>
    <definedName name="Guaraniana" hidden="1">#REF!</definedName>
    <definedName name="HHJJ" hidden="1">#REF!</definedName>
    <definedName name="HTML_CodePage" hidden="1">1252</definedName>
    <definedName name="HTML_Control" hidden="1">{"'COMBUSTÍVEIS'!$A$1:$K$88"}</definedName>
    <definedName name="HTML_Description" hidden="1">""</definedName>
    <definedName name="HTML_Email" hidden="1">"edmundo.nesi@satdist.com.br"</definedName>
    <definedName name="HTML_Header" hidden="1">"COMBUSTÍVEIS"</definedName>
    <definedName name="HTML_LastUpdate" hidden="1">"01/03/00"</definedName>
    <definedName name="HTML_LineAfter" hidden="1">FALSE</definedName>
    <definedName name="HTML_LineBefore" hidden="1">FALSE</definedName>
    <definedName name="HTML_Name" hidden="1">"Edmundo Nesi"</definedName>
    <definedName name="HTML_OBDlg2" hidden="1">TRUE</definedName>
    <definedName name="HTML_OBDlg4" hidden="1">TRUE</definedName>
    <definedName name="HTML_OS" hidden="1">0</definedName>
    <definedName name="HTML_PathFile" hidden="1">"G:\Edmundo\HTML\COMBUSTIVEIS.htm"</definedName>
    <definedName name="HTML_Title" hidden="1">"Combustíveis 01a29.02"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RF" hidden="1">#REF!</definedName>
    <definedName name="iui" hidden="1">#REF!</definedName>
    <definedName name="klj" hidden="1">{"'COMBUSTÍVEIS'!$A$1:$K$88"}</definedName>
    <definedName name="MEMO" hidden="1">#REF!</definedName>
    <definedName name="MEMORIA" hidden="1">{#N/A,#N/A,FALSE,"Aging Summary";#N/A,#N/A,FALSE,"Ratio Analysis";#N/A,#N/A,FALSE,"Test 120 Day Accts";#N/A,#N/A,FALSE,"Tickmarks"}</definedName>
    <definedName name="mmreeee" hidden="1">#REF!</definedName>
    <definedName name="ooo" hidden="1">#REF!</definedName>
    <definedName name="paa" hidden="1">{#N/A,#N/A,FALSE,"Aging Summary";#N/A,#N/A,FALSE,"Ratio Analysis";#N/A,#N/A,FALSE,"Test 120 Day Accts";#N/A,#N/A,FALSE,"Tickmarks"}</definedName>
    <definedName name="pIS" hidden="1">#REF!</definedName>
    <definedName name="ppp" hidden="1">#REF!</definedName>
    <definedName name="PRES" hidden="1">{"'COMBUSTÍVEIS'!$A$1:$K$88"}</definedName>
    <definedName name="qqe" hidden="1">#REF!</definedName>
    <definedName name="qqw" hidden="1">#REF!</definedName>
    <definedName name="qwq" hidden="1">#REF!</definedName>
    <definedName name="rer" hidden="1">#REF!</definedName>
    <definedName name="ROSER">#REF!</definedName>
    <definedName name="rww" hidden="1">#REF!</definedName>
    <definedName name="sad" hidden="1">#REF!</definedName>
    <definedName name="sda" hidden="1">#REF!</definedName>
    <definedName name="sds" hidden="1">#REF!</definedName>
    <definedName name="ssd" hidden="1">#REF!</definedName>
    <definedName name="TATAT" hidden="1">{#N/A,#N/A,FALSE,"Aging Summary";#N/A,#N/A,FALSE,"Ratio Analysis";#N/A,#N/A,FALSE,"Test 120 Day Accts";#N/A,#N/A,FALSE,"Tickmarks"}</definedName>
    <definedName name="TextRefCopyRangeCount" hidden="1">1</definedName>
    <definedName name="_xlnm.Print_Titles" localSheetId="0">BASE!$2:$2</definedName>
    <definedName name="uuu" hidden="1">#REF!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wq" hidden="1">#REF!</definedName>
    <definedName name="xpaste1" hidden="1">#REF!</definedName>
    <definedName name="xpaste4" hidden="1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6" hidden="1">#REF!</definedName>
    <definedName name="XREF_COLUMN_39" hidden="1">#REF!</definedName>
    <definedName name="XREF_COLUMN_4" hidden="1">#REF!</definedName>
    <definedName name="XREF_COLUMN_42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#REF!</definedName>
    <definedName name="xref2" hidden="1">#REF!</definedName>
    <definedName name="xref3" hidden="1">7</definedName>
    <definedName name="xref4" hidden="1">#REF!</definedName>
    <definedName name="xref5" hidden="1">#REF!</definedName>
    <definedName name="xref6" hidden="1">#REF!</definedName>
    <definedName name="xref7" hidden="1">69</definedName>
    <definedName name="xref8" hidden="1">#REF!</definedName>
    <definedName name="xref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3" hidden="1">#REF!</definedName>
    <definedName name="XRefCopy83Row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7" hidden="1">#REF!</definedName>
    <definedName name="XRefCopy87Row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4Row" hidden="1">#REF!</definedName>
    <definedName name="XRefPaste115Row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Row" hidden="1">#REF!</definedName>
    <definedName name="XRefPaste15Row" hidden="1">#REF!</definedName>
    <definedName name="XRefPaste16" hidden="1">#REF!</definedName>
    <definedName name="XRefPaste161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Row" hidden="1">#REF!</definedName>
    <definedName name="XRefPaste168Row" hidden="1">#REF!</definedName>
    <definedName name="XRefPaste16Row" hidden="1">#REF!</definedName>
    <definedName name="XRefPaste17" hidden="1">#REF!</definedName>
    <definedName name="XRefPaste170Row" hidden="1">#REF!</definedName>
    <definedName name="XRefPaste172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8" hidden="1">#REF!</definedName>
    <definedName name="XRefPaste178Row" hidden="1">#REF!</definedName>
    <definedName name="XRefPaste179Row" hidden="1">#REF!</definedName>
    <definedName name="XRefPaste17Row" hidden="1">#REF!</definedName>
    <definedName name="XRefPaste18" hidden="1">#REF!</definedName>
    <definedName name="XRefPaste181Row" hidden="1">#REF!</definedName>
    <definedName name="XRefPaste182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</definedName>
    <definedName name="XXXXX" hidden="1">{"'COMBUSTÍVEIS'!$A$1:$K$88"}</definedName>
    <definedName name="yyy" hidden="1">#REF!</definedName>
  </definedNames>
  <calcPr calcId="144525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0" i="1" l="1"/>
  <c r="L210" i="1" s="1"/>
  <c r="M209" i="1"/>
  <c r="L209" i="1" s="1"/>
  <c r="M208" i="1"/>
  <c r="M207" i="1"/>
  <c r="L207" i="1" s="1"/>
  <c r="M206" i="1"/>
  <c r="M205" i="1"/>
  <c r="L205" i="1" s="1"/>
  <c r="M204" i="1"/>
  <c r="L204" i="1" s="1"/>
  <c r="M203" i="1"/>
  <c r="J210" i="1"/>
  <c r="K210" i="1" s="1"/>
  <c r="J209" i="1"/>
  <c r="K209" i="1" s="1"/>
  <c r="J208" i="1"/>
  <c r="J207" i="1"/>
  <c r="J206" i="1"/>
  <c r="J205" i="1"/>
  <c r="J204" i="1"/>
  <c r="J203" i="1"/>
  <c r="K203" i="1" s="1"/>
  <c r="O210" i="1"/>
  <c r="O209" i="1"/>
  <c r="O208" i="1"/>
  <c r="L208" i="1"/>
  <c r="K208" i="1"/>
  <c r="O207" i="1"/>
  <c r="K207" i="1"/>
  <c r="O206" i="1"/>
  <c r="L206" i="1"/>
  <c r="K206" i="1"/>
  <c r="O205" i="1"/>
  <c r="K205" i="1"/>
  <c r="O204" i="1"/>
  <c r="K204" i="1"/>
  <c r="O203" i="1"/>
  <c r="L203" i="1"/>
  <c r="M191" i="1"/>
  <c r="L191" i="1" s="1"/>
  <c r="M190" i="1"/>
  <c r="L190" i="1" s="1"/>
  <c r="M189" i="1"/>
  <c r="M188" i="1"/>
  <c r="M187" i="1"/>
  <c r="L187" i="1" s="1"/>
  <c r="M186" i="1"/>
  <c r="J191" i="1"/>
  <c r="K191" i="1" s="1"/>
  <c r="J190" i="1"/>
  <c r="J189" i="1"/>
  <c r="K189" i="1" s="1"/>
  <c r="J188" i="1"/>
  <c r="K188" i="1" s="1"/>
  <c r="J187" i="1"/>
  <c r="K187" i="1" s="1"/>
  <c r="J186" i="1"/>
  <c r="O191" i="1"/>
  <c r="O190" i="1"/>
  <c r="K190" i="1"/>
  <c r="O189" i="1"/>
  <c r="L189" i="1"/>
  <c r="O188" i="1"/>
  <c r="L188" i="1"/>
  <c r="O187" i="1"/>
  <c r="O186" i="1"/>
  <c r="L186" i="1"/>
  <c r="K186" i="1"/>
  <c r="I208" i="1"/>
  <c r="I209" i="1"/>
  <c r="I210" i="1"/>
  <c r="I203" i="1"/>
  <c r="I204" i="1"/>
  <c r="I205" i="1"/>
  <c r="I188" i="1"/>
  <c r="I189" i="1"/>
  <c r="I190" i="1"/>
  <c r="I191" i="1"/>
  <c r="I206" i="1"/>
  <c r="I207" i="1"/>
  <c r="I186" i="1"/>
  <c r="I187" i="1"/>
  <c r="P203" i="1" l="1"/>
  <c r="P205" i="1"/>
  <c r="P207" i="1"/>
  <c r="P209" i="1"/>
  <c r="P204" i="1"/>
  <c r="P206" i="1"/>
  <c r="P208" i="1"/>
  <c r="P210" i="1"/>
  <c r="P190" i="1"/>
  <c r="P188" i="1"/>
  <c r="P186" i="1"/>
  <c r="P187" i="1"/>
  <c r="P189" i="1"/>
  <c r="P191" i="1"/>
  <c r="O212" i="1"/>
  <c r="O213" i="1"/>
  <c r="O214" i="1"/>
  <c r="O211" i="1"/>
  <c r="M213" i="1"/>
  <c r="L213" i="1" s="1"/>
  <c r="M212" i="1"/>
  <c r="L212" i="1" s="1"/>
  <c r="M211" i="1"/>
  <c r="L211" i="1" s="1"/>
  <c r="J213" i="1"/>
  <c r="K213" i="1" s="1"/>
  <c r="J212" i="1"/>
  <c r="K212" i="1" s="1"/>
  <c r="J211" i="1"/>
  <c r="K211" i="1" s="1"/>
  <c r="J214" i="1"/>
  <c r="K214" i="1"/>
  <c r="M214" i="1"/>
  <c r="L214" i="1" s="1"/>
  <c r="M193" i="1"/>
  <c r="L193" i="1" s="1"/>
  <c r="M192" i="1"/>
  <c r="L192" i="1" s="1"/>
  <c r="P192" i="1" s="1"/>
  <c r="J193" i="1"/>
  <c r="K193" i="1" s="1"/>
  <c r="J192" i="1"/>
  <c r="K192" i="1"/>
  <c r="O192" i="1"/>
  <c r="O193" i="1"/>
  <c r="J194" i="1"/>
  <c r="K194" i="1" s="1"/>
  <c r="M194" i="1"/>
  <c r="L194" i="1" s="1"/>
  <c r="P194" i="1" s="1"/>
  <c r="O194" i="1"/>
  <c r="P193" i="1" l="1"/>
  <c r="P214" i="1"/>
  <c r="P211" i="1"/>
  <c r="P212" i="1"/>
  <c r="P213" i="1"/>
  <c r="I192" i="1"/>
  <c r="I193" i="1"/>
  <c r="I194" i="1"/>
  <c r="I211" i="1"/>
  <c r="I212" i="1"/>
  <c r="I213" i="1"/>
  <c r="I214" i="1"/>
  <c r="M198" i="1" l="1"/>
  <c r="M197" i="1"/>
  <c r="M196" i="1"/>
  <c r="M169" i="1"/>
  <c r="M168" i="1"/>
  <c r="J178" i="1"/>
  <c r="K178" i="1" s="1"/>
  <c r="J177" i="1"/>
  <c r="K177" i="1" s="1"/>
  <c r="J176" i="1"/>
  <c r="K176" i="1" s="1"/>
  <c r="J169" i="1"/>
  <c r="J168" i="1"/>
  <c r="M199" i="1"/>
  <c r="L199" i="1" s="1"/>
  <c r="J199" i="1"/>
  <c r="K199" i="1" s="1"/>
  <c r="J200" i="1"/>
  <c r="K200" i="1" s="1"/>
  <c r="M202" i="1"/>
  <c r="L202" i="1" s="1"/>
  <c r="J202" i="1"/>
  <c r="K202" i="1" s="1"/>
  <c r="J201" i="1"/>
  <c r="K201" i="1" s="1"/>
  <c r="O202" i="1"/>
  <c r="O201" i="1"/>
  <c r="O199" i="1"/>
  <c r="M200" i="1"/>
  <c r="L200" i="1" s="1"/>
  <c r="O200" i="1"/>
  <c r="M201" i="1"/>
  <c r="L201" i="1" s="1"/>
  <c r="M178" i="1"/>
  <c r="L178" i="1" s="1"/>
  <c r="M177" i="1"/>
  <c r="L177" i="1" s="1"/>
  <c r="M176" i="1"/>
  <c r="L176" i="1" s="1"/>
  <c r="O176" i="1"/>
  <c r="O177" i="1"/>
  <c r="O178" i="1"/>
  <c r="J179" i="1"/>
  <c r="K179" i="1" s="1"/>
  <c r="M179" i="1"/>
  <c r="L179" i="1" s="1"/>
  <c r="O179" i="1"/>
  <c r="P179" i="1" l="1"/>
  <c r="P178" i="1"/>
  <c r="P202" i="1"/>
  <c r="P199" i="1"/>
  <c r="P200" i="1"/>
  <c r="P201" i="1"/>
  <c r="P177" i="1"/>
  <c r="P176" i="1"/>
  <c r="I199" i="1" l="1"/>
  <c r="I200" i="1"/>
  <c r="I201" i="1"/>
  <c r="I202" i="1"/>
  <c r="I176" i="1"/>
  <c r="I177" i="1"/>
  <c r="I178" i="1"/>
  <c r="I179" i="1"/>
  <c r="O172" i="1" l="1"/>
  <c r="O171" i="1"/>
  <c r="O185" i="1"/>
  <c r="O170" i="1"/>
  <c r="M175" i="1"/>
  <c r="L175" i="1" s="1"/>
  <c r="M174" i="1"/>
  <c r="L174" i="1" s="1"/>
  <c r="M172" i="1"/>
  <c r="L172" i="1" s="1"/>
  <c r="M170" i="1"/>
  <c r="L170" i="1" s="1"/>
  <c r="J175" i="1"/>
  <c r="K175" i="1" s="1"/>
  <c r="J174" i="1"/>
  <c r="K174" i="1" s="1"/>
  <c r="J172" i="1"/>
  <c r="K172" i="1" s="1"/>
  <c r="J170" i="1"/>
  <c r="K170" i="1" s="1"/>
  <c r="J171" i="1"/>
  <c r="K171" i="1" s="1"/>
  <c r="M171" i="1"/>
  <c r="L171" i="1" s="1"/>
  <c r="J173" i="1"/>
  <c r="K173" i="1" s="1"/>
  <c r="M173" i="1"/>
  <c r="L173" i="1" s="1"/>
  <c r="O173" i="1"/>
  <c r="O174" i="1"/>
  <c r="O175" i="1"/>
  <c r="I170" i="1"/>
  <c r="I171" i="1"/>
  <c r="I172" i="1"/>
  <c r="I173" i="1"/>
  <c r="I174" i="1"/>
  <c r="I175" i="1"/>
  <c r="O184" i="1"/>
  <c r="O183" i="1"/>
  <c r="O180" i="1"/>
  <c r="O181" i="1"/>
  <c r="O182" i="1"/>
  <c r="M184" i="1"/>
  <c r="L184" i="1" s="1"/>
  <c r="M183" i="1"/>
  <c r="L183" i="1" s="1"/>
  <c r="M182" i="1"/>
  <c r="L182" i="1" s="1"/>
  <c r="M180" i="1"/>
  <c r="L180" i="1" s="1"/>
  <c r="J184" i="1"/>
  <c r="K184" i="1" s="1"/>
  <c r="J183" i="1"/>
  <c r="K183" i="1" s="1"/>
  <c r="J182" i="1"/>
  <c r="K182" i="1" s="1"/>
  <c r="J180" i="1"/>
  <c r="K180" i="1" s="1"/>
  <c r="I180" i="1"/>
  <c r="I181" i="1"/>
  <c r="I182" i="1"/>
  <c r="I183" i="1"/>
  <c r="I184" i="1"/>
  <c r="I185" i="1"/>
  <c r="J185" i="1"/>
  <c r="K185" i="1" s="1"/>
  <c r="M185" i="1"/>
  <c r="L185" i="1" s="1"/>
  <c r="P185" i="1" s="1"/>
  <c r="J181" i="1"/>
  <c r="K181" i="1" s="1"/>
  <c r="M181" i="1"/>
  <c r="L181" i="1" s="1"/>
  <c r="P174" i="1" l="1"/>
  <c r="P182" i="1"/>
  <c r="P184" i="1"/>
  <c r="P173" i="1"/>
  <c r="P175" i="1"/>
  <c r="P172" i="1"/>
  <c r="P171" i="1"/>
  <c r="P170" i="1"/>
  <c r="P181" i="1"/>
  <c r="P180" i="1"/>
  <c r="P183" i="1"/>
  <c r="G215" i="1"/>
  <c r="Q165" i="1" l="1"/>
  <c r="J198" i="1"/>
  <c r="K198" i="1" s="1"/>
  <c r="J197" i="1"/>
  <c r="K197" i="1" s="1"/>
  <c r="J196" i="1"/>
  <c r="K196" i="1" s="1"/>
  <c r="O198" i="1"/>
  <c r="O197" i="1"/>
  <c r="O196" i="1"/>
  <c r="O195" i="1"/>
  <c r="I198" i="1"/>
  <c r="L198" i="1"/>
  <c r="I197" i="1"/>
  <c r="L197" i="1"/>
  <c r="I196" i="1"/>
  <c r="L196" i="1"/>
  <c r="I195" i="1"/>
  <c r="J195" i="1"/>
  <c r="K195" i="1" s="1"/>
  <c r="M195" i="1"/>
  <c r="L195" i="1" s="1"/>
  <c r="O167" i="1"/>
  <c r="O168" i="1"/>
  <c r="O169" i="1"/>
  <c r="M161" i="1"/>
  <c r="L161" i="1" s="1"/>
  <c r="M160" i="1"/>
  <c r="L160" i="1" s="1"/>
  <c r="J161" i="1"/>
  <c r="K161" i="1" s="1"/>
  <c r="J160" i="1"/>
  <c r="K160" i="1" s="1"/>
  <c r="M159" i="1"/>
  <c r="L159" i="1" s="1"/>
  <c r="J159" i="1"/>
  <c r="K159" i="1" s="1"/>
  <c r="F215" i="1"/>
  <c r="K169" i="1"/>
  <c r="L169" i="1"/>
  <c r="K168" i="1"/>
  <c r="L168" i="1"/>
  <c r="J167" i="1"/>
  <c r="K167" i="1" s="1"/>
  <c r="M167" i="1"/>
  <c r="L167" i="1" s="1"/>
  <c r="I167" i="1"/>
  <c r="I168" i="1"/>
  <c r="I169" i="1"/>
  <c r="O166" i="1"/>
  <c r="O165" i="1"/>
  <c r="O164" i="1"/>
  <c r="M165" i="1"/>
  <c r="L165" i="1" s="1"/>
  <c r="M166" i="1"/>
  <c r="L166" i="1" s="1"/>
  <c r="J165" i="1"/>
  <c r="K165" i="1" s="1"/>
  <c r="J166" i="1"/>
  <c r="K166" i="1" s="1"/>
  <c r="J164" i="1"/>
  <c r="K164" i="1" s="1"/>
  <c r="M164" i="1"/>
  <c r="L164" i="1" s="1"/>
  <c r="O159" i="1"/>
  <c r="O160" i="1"/>
  <c r="O161" i="1"/>
  <c r="J162" i="1"/>
  <c r="K162" i="1" s="1"/>
  <c r="M162" i="1"/>
  <c r="L162" i="1" s="1"/>
  <c r="O162" i="1"/>
  <c r="J163" i="1"/>
  <c r="K163" i="1" s="1"/>
  <c r="M163" i="1"/>
  <c r="L163" i="1" s="1"/>
  <c r="O163" i="1"/>
  <c r="I163" i="1"/>
  <c r="I162" i="1"/>
  <c r="I161" i="1"/>
  <c r="I160" i="1"/>
  <c r="I159" i="1"/>
  <c r="I165" i="1"/>
  <c r="I166" i="1"/>
  <c r="I164" i="1"/>
  <c r="P195" i="1" l="1"/>
  <c r="P196" i="1"/>
  <c r="P197" i="1"/>
  <c r="P198" i="1"/>
  <c r="P169" i="1"/>
  <c r="P168" i="1"/>
  <c r="P167" i="1"/>
  <c r="P163" i="1"/>
  <c r="P162" i="1"/>
  <c r="P161" i="1"/>
  <c r="P160" i="1"/>
  <c r="P159" i="1"/>
  <c r="P165" i="1"/>
  <c r="P166" i="1"/>
  <c r="P164" i="1"/>
  <c r="O158" i="1" l="1"/>
  <c r="M158" i="1"/>
  <c r="L158" i="1" s="1"/>
  <c r="J158" i="1"/>
  <c r="K158" i="1" s="1"/>
  <c r="O157" i="1"/>
  <c r="M157" i="1"/>
  <c r="L157" i="1" s="1"/>
  <c r="J157" i="1"/>
  <c r="K157" i="1" s="1"/>
  <c r="P157" i="1" l="1"/>
  <c r="P158" i="1"/>
  <c r="I158" i="1"/>
  <c r="I157" i="1"/>
  <c r="M131" i="1" l="1"/>
  <c r="L131" i="1" s="1"/>
  <c r="M130" i="1"/>
  <c r="L130" i="1" s="1"/>
  <c r="M129" i="1"/>
  <c r="L129" i="1" s="1"/>
  <c r="M128" i="1"/>
  <c r="L128" i="1" s="1"/>
  <c r="M127" i="1"/>
  <c r="L127" i="1" s="1"/>
  <c r="M126" i="1"/>
  <c r="L126" i="1" s="1"/>
  <c r="M125" i="1"/>
  <c r="L125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38" i="1"/>
  <c r="K138" i="1" s="1"/>
  <c r="M138" i="1"/>
  <c r="L138" i="1" s="1"/>
  <c r="O138" i="1"/>
  <c r="J139" i="1"/>
  <c r="K139" i="1" s="1"/>
  <c r="M139" i="1"/>
  <c r="L139" i="1" s="1"/>
  <c r="O139" i="1"/>
  <c r="J140" i="1"/>
  <c r="K140" i="1" s="1"/>
  <c r="M140" i="1"/>
  <c r="L140" i="1" s="1"/>
  <c r="O140" i="1"/>
  <c r="J141" i="1"/>
  <c r="K141" i="1" s="1"/>
  <c r="M141" i="1"/>
  <c r="L141" i="1" s="1"/>
  <c r="O141" i="1"/>
  <c r="J142" i="1"/>
  <c r="K142" i="1" s="1"/>
  <c r="M142" i="1"/>
  <c r="L142" i="1" s="1"/>
  <c r="O142" i="1"/>
  <c r="J143" i="1"/>
  <c r="K143" i="1" s="1"/>
  <c r="M143" i="1"/>
  <c r="L143" i="1" s="1"/>
  <c r="O143" i="1"/>
  <c r="J144" i="1"/>
  <c r="K144" i="1" s="1"/>
  <c r="M144" i="1"/>
  <c r="L144" i="1" s="1"/>
  <c r="O144" i="1"/>
  <c r="J145" i="1"/>
  <c r="K145" i="1" s="1"/>
  <c r="M145" i="1"/>
  <c r="L145" i="1" s="1"/>
  <c r="O145" i="1"/>
  <c r="J146" i="1"/>
  <c r="K146" i="1" s="1"/>
  <c r="M146" i="1"/>
  <c r="L146" i="1" s="1"/>
  <c r="O146" i="1"/>
  <c r="J147" i="1"/>
  <c r="K147" i="1" s="1"/>
  <c r="M147" i="1"/>
  <c r="L147" i="1" s="1"/>
  <c r="O147" i="1"/>
  <c r="J148" i="1"/>
  <c r="K148" i="1" s="1"/>
  <c r="M148" i="1"/>
  <c r="L148" i="1" s="1"/>
  <c r="O148" i="1"/>
  <c r="J149" i="1"/>
  <c r="K149" i="1" s="1"/>
  <c r="M149" i="1"/>
  <c r="L149" i="1" s="1"/>
  <c r="O149" i="1"/>
  <c r="J150" i="1"/>
  <c r="K150" i="1" s="1"/>
  <c r="M150" i="1"/>
  <c r="L150" i="1" s="1"/>
  <c r="O150" i="1"/>
  <c r="J151" i="1"/>
  <c r="K151" i="1" s="1"/>
  <c r="M151" i="1"/>
  <c r="L151" i="1" s="1"/>
  <c r="O151" i="1"/>
  <c r="J152" i="1"/>
  <c r="K152" i="1" s="1"/>
  <c r="M152" i="1"/>
  <c r="L152" i="1" s="1"/>
  <c r="O152" i="1"/>
  <c r="J153" i="1"/>
  <c r="K153" i="1" s="1"/>
  <c r="M153" i="1"/>
  <c r="L153" i="1" s="1"/>
  <c r="O153" i="1"/>
  <c r="J154" i="1"/>
  <c r="K154" i="1" s="1"/>
  <c r="M154" i="1"/>
  <c r="L154" i="1" s="1"/>
  <c r="O154" i="1"/>
  <c r="J155" i="1"/>
  <c r="K155" i="1" s="1"/>
  <c r="M155" i="1"/>
  <c r="L155" i="1" s="1"/>
  <c r="O155" i="1"/>
  <c r="J156" i="1"/>
  <c r="K156" i="1" s="1"/>
  <c r="M156" i="1"/>
  <c r="L156" i="1" s="1"/>
  <c r="O156" i="1"/>
  <c r="O125" i="1"/>
  <c r="O126" i="1"/>
  <c r="O127" i="1"/>
  <c r="O128" i="1"/>
  <c r="O129" i="1"/>
  <c r="O130" i="1"/>
  <c r="O131" i="1"/>
  <c r="I131" i="1"/>
  <c r="I130" i="1"/>
  <c r="I129" i="1"/>
  <c r="I128" i="1"/>
  <c r="I127" i="1"/>
  <c r="I126" i="1"/>
  <c r="I125" i="1"/>
  <c r="P139" i="1" l="1"/>
  <c r="P154" i="1"/>
  <c r="P148" i="1"/>
  <c r="P145" i="1"/>
  <c r="P142" i="1"/>
  <c r="P125" i="1"/>
  <c r="P155" i="1"/>
  <c r="P152" i="1"/>
  <c r="P149" i="1"/>
  <c r="P146" i="1"/>
  <c r="P143" i="1"/>
  <c r="P140" i="1"/>
  <c r="P151" i="1"/>
  <c r="P138" i="1"/>
  <c r="P131" i="1"/>
  <c r="P129" i="1"/>
  <c r="P128" i="1"/>
  <c r="P126" i="1"/>
  <c r="P130" i="1"/>
  <c r="P127" i="1"/>
  <c r="P156" i="1"/>
  <c r="P153" i="1"/>
  <c r="P150" i="1"/>
  <c r="P147" i="1"/>
  <c r="P144" i="1"/>
  <c r="P141" i="1"/>
  <c r="O91" i="1"/>
  <c r="O124" i="1"/>
  <c r="O123" i="1"/>
  <c r="O122" i="1"/>
  <c r="O121" i="1"/>
  <c r="O120" i="1"/>
  <c r="O119" i="1"/>
  <c r="O118" i="1"/>
  <c r="O117" i="1"/>
  <c r="O116" i="1"/>
  <c r="O115" i="1"/>
  <c r="M124" i="1"/>
  <c r="L124" i="1" s="1"/>
  <c r="M123" i="1"/>
  <c r="L123" i="1" s="1"/>
  <c r="M122" i="1"/>
  <c r="L122" i="1" s="1"/>
  <c r="M121" i="1"/>
  <c r="L121" i="1" s="1"/>
  <c r="M120" i="1"/>
  <c r="L120" i="1" s="1"/>
  <c r="M119" i="1"/>
  <c r="L119" i="1" s="1"/>
  <c r="M118" i="1"/>
  <c r="L118" i="1" s="1"/>
  <c r="M117" i="1"/>
  <c r="L117" i="1" s="1"/>
  <c r="M116" i="1"/>
  <c r="L116" i="1" s="1"/>
  <c r="M115" i="1"/>
  <c r="L11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I115" i="1"/>
  <c r="I116" i="1"/>
  <c r="I117" i="1"/>
  <c r="I118" i="1"/>
  <c r="I119" i="1"/>
  <c r="I120" i="1"/>
  <c r="I121" i="1"/>
  <c r="O110" i="1"/>
  <c r="O109" i="1"/>
  <c r="O108" i="1"/>
  <c r="M110" i="1"/>
  <c r="L110" i="1" s="1"/>
  <c r="M109" i="1"/>
  <c r="L109" i="1" s="1"/>
  <c r="M108" i="1"/>
  <c r="L108" i="1" s="1"/>
  <c r="J110" i="1"/>
  <c r="K110" i="1" s="1"/>
  <c r="J109" i="1"/>
  <c r="K109" i="1" s="1"/>
  <c r="J108" i="1"/>
  <c r="K108" i="1" s="1"/>
  <c r="I108" i="1"/>
  <c r="I109" i="1"/>
  <c r="I110" i="1"/>
  <c r="P118" i="1" l="1"/>
  <c r="P120" i="1"/>
  <c r="P117" i="1"/>
  <c r="P124" i="1"/>
  <c r="P123" i="1"/>
  <c r="P122" i="1"/>
  <c r="P121" i="1"/>
  <c r="P119" i="1"/>
  <c r="P116" i="1"/>
  <c r="P115" i="1"/>
  <c r="P109" i="1"/>
  <c r="P108" i="1"/>
  <c r="P110" i="1"/>
  <c r="O135" i="1"/>
  <c r="O136" i="1"/>
  <c r="O137" i="1"/>
  <c r="M98" i="1"/>
  <c r="L98" i="1" s="1"/>
  <c r="M135" i="1"/>
  <c r="L135" i="1" s="1"/>
  <c r="J135" i="1"/>
  <c r="K135" i="1" s="1"/>
  <c r="M136" i="1"/>
  <c r="L136" i="1" s="1"/>
  <c r="J136" i="1"/>
  <c r="K136" i="1" s="1"/>
  <c r="M133" i="1"/>
  <c r="L133" i="1" s="1"/>
  <c r="J133" i="1"/>
  <c r="K133" i="1" s="1"/>
  <c r="M132" i="1"/>
  <c r="L132" i="1" s="1"/>
  <c r="J132" i="1"/>
  <c r="K132" i="1" s="1"/>
  <c r="M113" i="1"/>
  <c r="L113" i="1" s="1"/>
  <c r="J113" i="1"/>
  <c r="K113" i="1" s="1"/>
  <c r="M112" i="1"/>
  <c r="L112" i="1" s="1"/>
  <c r="J112" i="1"/>
  <c r="K112" i="1" s="1"/>
  <c r="M111" i="1"/>
  <c r="L111" i="1" s="1"/>
  <c r="J111" i="1"/>
  <c r="K111" i="1" s="1"/>
  <c r="M107" i="1"/>
  <c r="L107" i="1" s="1"/>
  <c r="J107" i="1"/>
  <c r="K107" i="1" s="1"/>
  <c r="M105" i="1"/>
  <c r="L105" i="1" s="1"/>
  <c r="J105" i="1"/>
  <c r="K105" i="1" s="1"/>
  <c r="M104" i="1"/>
  <c r="L104" i="1" s="1"/>
  <c r="J104" i="1"/>
  <c r="K104" i="1" s="1"/>
  <c r="M103" i="1"/>
  <c r="L103" i="1" s="1"/>
  <c r="J103" i="1"/>
  <c r="K103" i="1" s="1"/>
  <c r="M102" i="1"/>
  <c r="L102" i="1" s="1"/>
  <c r="J102" i="1"/>
  <c r="K102" i="1" s="1"/>
  <c r="M100" i="1"/>
  <c r="L100" i="1" s="1"/>
  <c r="J100" i="1"/>
  <c r="K100" i="1" s="1"/>
  <c r="M99" i="1"/>
  <c r="L99" i="1" s="1"/>
  <c r="J99" i="1"/>
  <c r="K99" i="1" s="1"/>
  <c r="J98" i="1"/>
  <c r="K98" i="1" s="1"/>
  <c r="M97" i="1"/>
  <c r="L97" i="1" s="1"/>
  <c r="J97" i="1"/>
  <c r="K97" i="1" s="1"/>
  <c r="J96" i="1"/>
  <c r="K96" i="1" s="1"/>
  <c r="M96" i="1"/>
  <c r="L96" i="1" s="1"/>
  <c r="O96" i="1"/>
  <c r="O97" i="1"/>
  <c r="O98" i="1"/>
  <c r="O99" i="1"/>
  <c r="O100" i="1"/>
  <c r="J101" i="1"/>
  <c r="K101" i="1" s="1"/>
  <c r="M101" i="1"/>
  <c r="L101" i="1" s="1"/>
  <c r="O101" i="1"/>
  <c r="O102" i="1"/>
  <c r="O103" i="1"/>
  <c r="O104" i="1"/>
  <c r="O105" i="1"/>
  <c r="J106" i="1"/>
  <c r="K106" i="1" s="1"/>
  <c r="M106" i="1"/>
  <c r="L106" i="1" s="1"/>
  <c r="O106" i="1"/>
  <c r="O107" i="1"/>
  <c r="O111" i="1"/>
  <c r="O112" i="1"/>
  <c r="O113" i="1"/>
  <c r="J114" i="1"/>
  <c r="K114" i="1" s="1"/>
  <c r="M114" i="1"/>
  <c r="L114" i="1" s="1"/>
  <c r="O114" i="1"/>
  <c r="O132" i="1"/>
  <c r="O133" i="1"/>
  <c r="J134" i="1"/>
  <c r="K134" i="1" s="1"/>
  <c r="M134" i="1"/>
  <c r="L134" i="1" s="1"/>
  <c r="O134" i="1"/>
  <c r="J137" i="1"/>
  <c r="K137" i="1" s="1"/>
  <c r="M137" i="1"/>
  <c r="L137" i="1" s="1"/>
  <c r="I124" i="1"/>
  <c r="I123" i="1"/>
  <c r="I122" i="1"/>
  <c r="I135" i="1"/>
  <c r="I136" i="1"/>
  <c r="I137" i="1"/>
  <c r="I114" i="1"/>
  <c r="I113" i="1"/>
  <c r="I112" i="1"/>
  <c r="I111" i="1"/>
  <c r="I97" i="1"/>
  <c r="I96" i="1"/>
  <c r="P132" i="1" l="1"/>
  <c r="P99" i="1"/>
  <c r="P112" i="1"/>
  <c r="P103" i="1"/>
  <c r="P96" i="1"/>
  <c r="P98" i="1"/>
  <c r="P137" i="1"/>
  <c r="P114" i="1"/>
  <c r="P106" i="1"/>
  <c r="P100" i="1"/>
  <c r="P101" i="1"/>
  <c r="P134" i="1"/>
  <c r="P97" i="1"/>
  <c r="P136" i="1"/>
  <c r="P133" i="1"/>
  <c r="P113" i="1"/>
  <c r="P111" i="1"/>
  <c r="P107" i="1"/>
  <c r="P105" i="1"/>
  <c r="P104" i="1"/>
  <c r="P102" i="1"/>
  <c r="P135" i="1"/>
  <c r="I134" i="1"/>
  <c r="I133" i="1"/>
  <c r="I132" i="1"/>
  <c r="I103" i="1"/>
  <c r="I104" i="1"/>
  <c r="I105" i="1"/>
  <c r="I106" i="1"/>
  <c r="I107" i="1"/>
  <c r="I102" i="1"/>
  <c r="I101" i="1"/>
  <c r="I100" i="1"/>
  <c r="I99" i="1"/>
  <c r="I98" i="1"/>
  <c r="O92" i="1" l="1"/>
  <c r="O93" i="1"/>
  <c r="O94" i="1"/>
  <c r="O95" i="1"/>
  <c r="M94" i="1"/>
  <c r="L94" i="1" s="1"/>
  <c r="M93" i="1"/>
  <c r="L93" i="1" s="1"/>
  <c r="M92" i="1"/>
  <c r="L92" i="1" s="1"/>
  <c r="M95" i="1"/>
  <c r="L95" i="1" s="1"/>
  <c r="J94" i="1"/>
  <c r="K94" i="1" s="1"/>
  <c r="J93" i="1"/>
  <c r="K93" i="1" s="1"/>
  <c r="J92" i="1"/>
  <c r="K92" i="1" s="1"/>
  <c r="J95" i="1"/>
  <c r="K95" i="1" s="1"/>
  <c r="I95" i="1"/>
  <c r="I92" i="1"/>
  <c r="I93" i="1"/>
  <c r="I94" i="1"/>
  <c r="P95" i="1" l="1"/>
  <c r="P93" i="1"/>
  <c r="P94" i="1"/>
  <c r="P92" i="1"/>
  <c r="O86" i="1"/>
  <c r="O82" i="1"/>
  <c r="O84" i="1"/>
  <c r="O83" i="1"/>
  <c r="O78" i="1"/>
  <c r="O67" i="1"/>
  <c r="O66" i="1"/>
  <c r="O65" i="1"/>
  <c r="O64" i="1"/>
  <c r="O63" i="1"/>
  <c r="O62" i="1"/>
  <c r="O57" i="1"/>
  <c r="O50" i="1"/>
  <c r="O56" i="1"/>
  <c r="O55" i="1"/>
  <c r="O54" i="1"/>
  <c r="O53" i="1"/>
  <c r="O51" i="1"/>
  <c r="O49" i="1"/>
  <c r="O48" i="1"/>
  <c r="O47" i="1"/>
  <c r="O45" i="1"/>
  <c r="O44" i="1"/>
  <c r="O41" i="1"/>
  <c r="O42" i="1"/>
  <c r="O43" i="1"/>
  <c r="O22" i="1"/>
  <c r="O18" i="1"/>
  <c r="O17" i="1"/>
  <c r="O16" i="1"/>
  <c r="O15" i="1"/>
  <c r="O14" i="1"/>
  <c r="O13" i="1"/>
  <c r="O11" i="1"/>
  <c r="O21" i="1"/>
  <c r="O10" i="1"/>
  <c r="O9" i="1"/>
  <c r="O89" i="1"/>
  <c r="O88" i="1"/>
  <c r="O90" i="1"/>
  <c r="O87" i="1"/>
  <c r="M91" i="1"/>
  <c r="L91" i="1" s="1"/>
  <c r="M89" i="1"/>
  <c r="L89" i="1" s="1"/>
  <c r="M88" i="1"/>
  <c r="L88" i="1" s="1"/>
  <c r="M90" i="1"/>
  <c r="L90" i="1" s="1"/>
  <c r="M87" i="1"/>
  <c r="L87" i="1" s="1"/>
  <c r="J91" i="1"/>
  <c r="K91" i="1" s="1"/>
  <c r="J89" i="1"/>
  <c r="K89" i="1" s="1"/>
  <c r="J88" i="1"/>
  <c r="K88" i="1" s="1"/>
  <c r="J90" i="1"/>
  <c r="K90" i="1" s="1"/>
  <c r="J87" i="1"/>
  <c r="K87" i="1" s="1"/>
  <c r="I91" i="1"/>
  <c r="I89" i="1"/>
  <c r="I88" i="1"/>
  <c r="I90" i="1"/>
  <c r="I87" i="1"/>
  <c r="I150" i="1"/>
  <c r="I149" i="1"/>
  <c r="I148" i="1"/>
  <c r="I147" i="1"/>
  <c r="I146" i="1"/>
  <c r="I145" i="1"/>
  <c r="I144" i="1"/>
  <c r="I143" i="1"/>
  <c r="I142" i="1"/>
  <c r="O81" i="1"/>
  <c r="O80" i="1"/>
  <c r="O79" i="1"/>
  <c r="O77" i="1"/>
  <c r="O76" i="1"/>
  <c r="M81" i="1"/>
  <c r="L81" i="1" s="1"/>
  <c r="M78" i="1"/>
  <c r="L78" i="1" s="1"/>
  <c r="M80" i="1"/>
  <c r="L80" i="1" s="1"/>
  <c r="M79" i="1"/>
  <c r="L79" i="1" s="1"/>
  <c r="M77" i="1"/>
  <c r="L77" i="1" s="1"/>
  <c r="M76" i="1"/>
  <c r="L76" i="1" s="1"/>
  <c r="J81" i="1"/>
  <c r="K81" i="1" s="1"/>
  <c r="J78" i="1"/>
  <c r="K78" i="1" s="1"/>
  <c r="J80" i="1"/>
  <c r="K80" i="1" s="1"/>
  <c r="J79" i="1"/>
  <c r="K79" i="1" s="1"/>
  <c r="J77" i="1"/>
  <c r="K77" i="1" s="1"/>
  <c r="J76" i="1"/>
  <c r="K76" i="1" s="1"/>
  <c r="I81" i="1"/>
  <c r="I78" i="1"/>
  <c r="I80" i="1"/>
  <c r="I79" i="1"/>
  <c r="I77" i="1"/>
  <c r="I76" i="1"/>
  <c r="O72" i="1"/>
  <c r="O85" i="1"/>
  <c r="M86" i="1"/>
  <c r="L86" i="1" s="1"/>
  <c r="M85" i="1"/>
  <c r="L85" i="1" s="1"/>
  <c r="M82" i="1"/>
  <c r="L82" i="1" s="1"/>
  <c r="M84" i="1"/>
  <c r="L84" i="1" s="1"/>
  <c r="M83" i="1"/>
  <c r="L83" i="1" s="1"/>
  <c r="J86" i="1"/>
  <c r="K86" i="1" s="1"/>
  <c r="J85" i="1"/>
  <c r="K85" i="1" s="1"/>
  <c r="J82" i="1"/>
  <c r="K82" i="1" s="1"/>
  <c r="J84" i="1"/>
  <c r="K84" i="1" s="1"/>
  <c r="J83" i="1"/>
  <c r="K83" i="1" s="1"/>
  <c r="I86" i="1"/>
  <c r="I85" i="1"/>
  <c r="I82" i="1"/>
  <c r="I84" i="1"/>
  <c r="I83" i="1"/>
  <c r="I141" i="1"/>
  <c r="I140" i="1"/>
  <c r="I139" i="1"/>
  <c r="I138" i="1"/>
  <c r="P89" i="1" l="1"/>
  <c r="P90" i="1"/>
  <c r="P91" i="1"/>
  <c r="P88" i="1"/>
  <c r="P87" i="1"/>
  <c r="P76" i="1"/>
  <c r="P77" i="1"/>
  <c r="P86" i="1"/>
  <c r="P80" i="1"/>
  <c r="P78" i="1"/>
  <c r="P79" i="1"/>
  <c r="P81" i="1"/>
  <c r="P84" i="1"/>
  <c r="P82" i="1"/>
  <c r="P83" i="1"/>
  <c r="P85" i="1"/>
  <c r="O74" i="1"/>
  <c r="O73" i="1" l="1"/>
  <c r="O68" i="1"/>
  <c r="O75" i="1"/>
  <c r="O71" i="1"/>
  <c r="O70" i="1"/>
  <c r="O69" i="1"/>
  <c r="J67" i="1"/>
  <c r="K67" i="1" s="1"/>
  <c r="J69" i="1"/>
  <c r="K69" i="1" s="1"/>
  <c r="M73" i="1"/>
  <c r="L73" i="1" s="1"/>
  <c r="M68" i="1"/>
  <c r="L68" i="1" s="1"/>
  <c r="M74" i="1"/>
  <c r="L74" i="1" s="1"/>
  <c r="P74" i="1" s="1"/>
  <c r="M72" i="1"/>
  <c r="L72" i="1" s="1"/>
  <c r="M75" i="1"/>
  <c r="L75" i="1" s="1"/>
  <c r="M71" i="1"/>
  <c r="L71" i="1" s="1"/>
  <c r="M70" i="1"/>
  <c r="L70" i="1" s="1"/>
  <c r="M67" i="1"/>
  <c r="L67" i="1" s="1"/>
  <c r="M69" i="1"/>
  <c r="L69" i="1" s="1"/>
  <c r="J73" i="1"/>
  <c r="K73" i="1" s="1"/>
  <c r="J68" i="1"/>
  <c r="K68" i="1" s="1"/>
  <c r="J74" i="1"/>
  <c r="K74" i="1" s="1"/>
  <c r="J72" i="1"/>
  <c r="K72" i="1" s="1"/>
  <c r="J75" i="1"/>
  <c r="K75" i="1" s="1"/>
  <c r="J71" i="1"/>
  <c r="K71" i="1" s="1"/>
  <c r="J70" i="1"/>
  <c r="K70" i="1" s="1"/>
  <c r="I73" i="1"/>
  <c r="I68" i="1"/>
  <c r="I74" i="1"/>
  <c r="I72" i="1"/>
  <c r="I75" i="1"/>
  <c r="I71" i="1"/>
  <c r="I70" i="1"/>
  <c r="I67" i="1"/>
  <c r="I69" i="1"/>
  <c r="P71" i="1" l="1"/>
  <c r="P75" i="1"/>
  <c r="P68" i="1"/>
  <c r="P70" i="1"/>
  <c r="P72" i="1"/>
  <c r="P69" i="1"/>
  <c r="P73" i="1"/>
  <c r="J65" i="1"/>
  <c r="J64" i="1"/>
  <c r="J66" i="1"/>
  <c r="J60" i="1"/>
  <c r="J63" i="1"/>
  <c r="J62" i="1"/>
  <c r="J59" i="1"/>
  <c r="J58" i="1"/>
  <c r="J57" i="1"/>
  <c r="J56" i="1"/>
  <c r="J55" i="1"/>
  <c r="J54" i="1"/>
  <c r="J53" i="1"/>
  <c r="J61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4" i="1"/>
  <c r="J33" i="1" l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2" i="1"/>
  <c r="K22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3" i="1"/>
  <c r="K13" i="1" s="1"/>
  <c r="J14" i="1"/>
  <c r="K14" i="1" s="1"/>
  <c r="J12" i="1"/>
  <c r="K12" i="1" s="1"/>
  <c r="J11" i="1"/>
  <c r="K11" i="1" s="1"/>
  <c r="J4" i="1"/>
  <c r="K4" i="1" s="1"/>
  <c r="J21" i="1"/>
  <c r="K21" i="1" s="1"/>
  <c r="J10" i="1"/>
  <c r="K10" i="1" s="1"/>
  <c r="J9" i="1"/>
  <c r="K9" i="1" s="1"/>
  <c r="J8" i="1"/>
  <c r="K8" i="1" s="1"/>
  <c r="J7" i="1"/>
  <c r="J6" i="1"/>
  <c r="K6" i="1" s="1"/>
  <c r="K65" i="1"/>
  <c r="K64" i="1"/>
  <c r="K66" i="1"/>
  <c r="K60" i="1"/>
  <c r="K63" i="1"/>
  <c r="K62" i="1"/>
  <c r="K59" i="1"/>
  <c r="K58" i="1"/>
  <c r="K57" i="1"/>
  <c r="K56" i="1"/>
  <c r="K55" i="1"/>
  <c r="K54" i="1"/>
  <c r="K53" i="1"/>
  <c r="K61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J35" i="1"/>
  <c r="K35" i="1" s="1"/>
  <c r="K34" i="1"/>
  <c r="J23" i="1"/>
  <c r="K23" i="1" s="1"/>
  <c r="J5" i="1"/>
  <c r="K5" i="1" s="1"/>
  <c r="J215" i="1" l="1"/>
  <c r="K7" i="1"/>
  <c r="K215" i="1" s="1"/>
  <c r="O61" i="1"/>
  <c r="I156" i="1"/>
  <c r="I155" i="1"/>
  <c r="I154" i="1"/>
  <c r="I153" i="1"/>
  <c r="I152" i="1"/>
  <c r="I151" i="1"/>
  <c r="O60" i="1" l="1"/>
  <c r="O52" i="1"/>
  <c r="I219" i="1"/>
  <c r="I220" i="1"/>
  <c r="I221" i="1"/>
  <c r="I222" i="1"/>
  <c r="O58" i="1" l="1"/>
  <c r="O27" i="1"/>
  <c r="O26" i="1"/>
  <c r="O46" i="1"/>
  <c r="M58" i="1"/>
  <c r="L58" i="1" s="1"/>
  <c r="M57" i="1"/>
  <c r="L57" i="1" s="1"/>
  <c r="M56" i="1"/>
  <c r="L56" i="1" s="1"/>
  <c r="M55" i="1"/>
  <c r="L55" i="1" s="1"/>
  <c r="M59" i="1"/>
  <c r="L59" i="1" s="1"/>
  <c r="M54" i="1"/>
  <c r="L54" i="1" s="1"/>
  <c r="M27" i="1"/>
  <c r="L27" i="1" s="1"/>
  <c r="M26" i="1"/>
  <c r="L26" i="1" s="1"/>
  <c r="M47" i="1"/>
  <c r="L47" i="1" s="1"/>
  <c r="M45" i="1"/>
  <c r="L45" i="1" s="1"/>
  <c r="M44" i="1"/>
  <c r="L44" i="1" s="1"/>
  <c r="M46" i="1"/>
  <c r="L46" i="1" s="1"/>
  <c r="M24" i="1"/>
  <c r="L24" i="1" s="1"/>
  <c r="O24" i="1"/>
  <c r="M25" i="1"/>
  <c r="L25" i="1" s="1"/>
  <c r="O25" i="1"/>
  <c r="M53" i="1"/>
  <c r="L53" i="1" s="1"/>
  <c r="O59" i="1"/>
  <c r="I58" i="1"/>
  <c r="I57" i="1"/>
  <c r="I56" i="1"/>
  <c r="I55" i="1"/>
  <c r="I59" i="1"/>
  <c r="I53" i="1"/>
  <c r="I54" i="1"/>
  <c r="I27" i="1"/>
  <c r="I26" i="1"/>
  <c r="I25" i="1"/>
  <c r="I24" i="1"/>
  <c r="I47" i="1"/>
  <c r="I46" i="1"/>
  <c r="I45" i="1"/>
  <c r="I44" i="1"/>
  <c r="P27" i="1" l="1"/>
  <c r="P47" i="1"/>
  <c r="P55" i="1"/>
  <c r="P24" i="1"/>
  <c r="P56" i="1"/>
  <c r="P54" i="1"/>
  <c r="P57" i="1"/>
  <c r="P53" i="1"/>
  <c r="P25" i="1"/>
  <c r="P45" i="1"/>
  <c r="P58" i="1"/>
  <c r="P59" i="1"/>
  <c r="P26" i="1"/>
  <c r="P46" i="1"/>
  <c r="P44" i="1"/>
  <c r="I218" i="1"/>
  <c r="O23" i="1" l="1"/>
  <c r="M48" i="1"/>
  <c r="L48" i="1" s="1"/>
  <c r="M49" i="1"/>
  <c r="L49" i="1" s="1"/>
  <c r="M23" i="1"/>
  <c r="L23" i="1" s="1"/>
  <c r="M22" i="1"/>
  <c r="L22" i="1" s="1"/>
  <c r="M60" i="1"/>
  <c r="L60" i="1" s="1"/>
  <c r="I48" i="1"/>
  <c r="I49" i="1"/>
  <c r="I23" i="1"/>
  <c r="I22" i="1"/>
  <c r="I60" i="1"/>
  <c r="K15" i="9"/>
  <c r="J15" i="9" s="1"/>
  <c r="I15" i="9"/>
  <c r="H15" i="9" s="1"/>
  <c r="G15" i="9"/>
  <c r="M61" i="1"/>
  <c r="M52" i="1"/>
  <c r="L52" i="1" s="1"/>
  <c r="M50" i="1"/>
  <c r="M51" i="1"/>
  <c r="M43" i="1"/>
  <c r="P49" i="1" l="1"/>
  <c r="P22" i="1"/>
  <c r="P48" i="1"/>
  <c r="P23" i="1"/>
  <c r="P60" i="1"/>
  <c r="G14" i="9"/>
  <c r="G13" i="9"/>
  <c r="G12" i="9"/>
  <c r="G11" i="9"/>
  <c r="O7" i="1"/>
  <c r="O6" i="1"/>
  <c r="O5" i="1"/>
  <c r="O4" i="1"/>
  <c r="J10" i="9"/>
  <c r="J9" i="9"/>
  <c r="J7" i="9"/>
  <c r="J6" i="9"/>
  <c r="J5" i="9"/>
  <c r="I10" i="9"/>
  <c r="H10" i="9" s="1"/>
  <c r="I9" i="9"/>
  <c r="H9" i="9" s="1"/>
  <c r="I7" i="9"/>
  <c r="H7" i="9" s="1"/>
  <c r="I6" i="9"/>
  <c r="H6" i="9" s="1"/>
  <c r="L43" i="1"/>
  <c r="L51" i="1"/>
  <c r="L50" i="1"/>
  <c r="L61" i="1"/>
  <c r="O20" i="1"/>
  <c r="O8" i="1"/>
  <c r="O12" i="1"/>
  <c r="G10" i="9"/>
  <c r="G9" i="9"/>
  <c r="J8" i="9"/>
  <c r="E8" i="9"/>
  <c r="G8" i="9" s="1"/>
  <c r="G7" i="9"/>
  <c r="G6" i="9"/>
  <c r="E5" i="9"/>
  <c r="E18" i="9"/>
  <c r="D18" i="9"/>
  <c r="I52" i="1"/>
  <c r="I61" i="1"/>
  <c r="I50" i="1"/>
  <c r="I51" i="1"/>
  <c r="I43" i="1"/>
  <c r="K9" i="9" l="1"/>
  <c r="K10" i="9"/>
  <c r="K6" i="9"/>
  <c r="K7" i="9"/>
  <c r="P43" i="1"/>
  <c r="P51" i="1"/>
  <c r="P50" i="1"/>
  <c r="P61" i="1"/>
  <c r="P52" i="1"/>
  <c r="I5" i="9"/>
  <c r="H5" i="9" s="1"/>
  <c r="K5" i="9" s="1"/>
  <c r="I8" i="9"/>
  <c r="H8" i="9" s="1"/>
  <c r="K8" i="9" s="1"/>
  <c r="G18" i="9"/>
  <c r="I18" i="9"/>
  <c r="H18" i="9"/>
  <c r="F18" i="9"/>
  <c r="G5" i="9"/>
  <c r="M42" i="1"/>
  <c r="L42" i="1" s="1"/>
  <c r="I42" i="1"/>
  <c r="M41" i="1"/>
  <c r="L41" i="1" s="1"/>
  <c r="I41" i="1"/>
  <c r="O40" i="1"/>
  <c r="M40" i="1"/>
  <c r="L40" i="1" s="1"/>
  <c r="I40" i="1"/>
  <c r="O39" i="1"/>
  <c r="M39" i="1"/>
  <c r="L39" i="1" s="1"/>
  <c r="I39" i="1"/>
  <c r="O38" i="1"/>
  <c r="M38" i="1"/>
  <c r="L38" i="1" s="1"/>
  <c r="I38" i="1"/>
  <c r="O37" i="1"/>
  <c r="M37" i="1"/>
  <c r="L37" i="1" s="1"/>
  <c r="I37" i="1"/>
  <c r="O36" i="1"/>
  <c r="M36" i="1"/>
  <c r="L36" i="1" s="1"/>
  <c r="I36" i="1"/>
  <c r="O35" i="1"/>
  <c r="M35" i="1"/>
  <c r="L35" i="1" s="1"/>
  <c r="I35" i="1"/>
  <c r="O34" i="1"/>
  <c r="M34" i="1"/>
  <c r="L34" i="1" s="1"/>
  <c r="I34" i="1"/>
  <c r="O33" i="1"/>
  <c r="M33" i="1"/>
  <c r="L33" i="1" s="1"/>
  <c r="I33" i="1"/>
  <c r="O32" i="1"/>
  <c r="M32" i="1"/>
  <c r="L32" i="1" s="1"/>
  <c r="I32" i="1"/>
  <c r="O31" i="1"/>
  <c r="M31" i="1"/>
  <c r="L31" i="1" s="1"/>
  <c r="I31" i="1"/>
  <c r="M65" i="1"/>
  <c r="L65" i="1" s="1"/>
  <c r="I65" i="1"/>
  <c r="M66" i="1"/>
  <c r="L66" i="1" s="1"/>
  <c r="I66" i="1"/>
  <c r="M63" i="1"/>
  <c r="L63" i="1" s="1"/>
  <c r="I63" i="1"/>
  <c r="O30" i="1"/>
  <c r="M30" i="1"/>
  <c r="L30" i="1" s="1"/>
  <c r="I30" i="1"/>
  <c r="M62" i="1"/>
  <c r="L62" i="1" s="1"/>
  <c r="I62" i="1"/>
  <c r="M64" i="1"/>
  <c r="L64" i="1" s="1"/>
  <c r="I64" i="1"/>
  <c r="O29" i="1"/>
  <c r="M29" i="1"/>
  <c r="L29" i="1" s="1"/>
  <c r="I29" i="1"/>
  <c r="O28" i="1"/>
  <c r="M28" i="1"/>
  <c r="L28" i="1" s="1"/>
  <c r="I28" i="1"/>
  <c r="O19" i="1"/>
  <c r="P32" i="1" l="1"/>
  <c r="P29" i="1"/>
  <c r="P63" i="1"/>
  <c r="P65" i="1"/>
  <c r="P62" i="1"/>
  <c r="P34" i="1"/>
  <c r="P36" i="1"/>
  <c r="P38" i="1"/>
  <c r="P40" i="1"/>
  <c r="P42" i="1"/>
  <c r="P28" i="1"/>
  <c r="P64" i="1"/>
  <c r="P30" i="1"/>
  <c r="P66" i="1"/>
  <c r="P31" i="1"/>
  <c r="P33" i="1"/>
  <c r="P35" i="1"/>
  <c r="P37" i="1"/>
  <c r="P39" i="1"/>
  <c r="P41" i="1"/>
  <c r="H2" i="9"/>
  <c r="K18" i="9"/>
  <c r="M9" i="1" l="1"/>
  <c r="H215" i="1" l="1"/>
  <c r="I21" i="1" l="1"/>
  <c r="I18" i="1"/>
  <c r="I17" i="1"/>
  <c r="I16" i="1"/>
  <c r="I15" i="1"/>
  <c r="I14" i="1"/>
  <c r="I13" i="1"/>
  <c r="I20" i="1"/>
  <c r="I19" i="1"/>
  <c r="I12" i="1"/>
  <c r="I11" i="1"/>
  <c r="I10" i="1"/>
  <c r="I9" i="1"/>
  <c r="I8" i="1"/>
  <c r="I7" i="1"/>
  <c r="I6" i="1"/>
  <c r="I5" i="1"/>
  <c r="I4" i="1"/>
  <c r="I215" i="1" l="1"/>
  <c r="M21" i="1"/>
  <c r="M18" i="1"/>
  <c r="M17" i="1"/>
  <c r="M16" i="1"/>
  <c r="M15" i="1"/>
  <c r="M14" i="1"/>
  <c r="M13" i="1"/>
  <c r="M20" i="1"/>
  <c r="M19" i="1"/>
  <c r="L19" i="1" s="1"/>
  <c r="P19" i="1" s="1"/>
  <c r="M4" i="1"/>
  <c r="M5" i="1"/>
  <c r="M6" i="1"/>
  <c r="M7" i="1"/>
  <c r="M8" i="1"/>
  <c r="M10" i="1"/>
  <c r="M11" i="1"/>
  <c r="M12" i="1"/>
  <c r="M215" i="1" l="1"/>
  <c r="L4" i="1"/>
  <c r="L15" i="1"/>
  <c r="P15" i="1" s="1"/>
  <c r="P4" i="1" l="1"/>
  <c r="L14" i="1"/>
  <c r="P14" i="1" s="1"/>
  <c r="L9" i="1" l="1"/>
  <c r="P9" i="1" s="1"/>
  <c r="L8" i="1"/>
  <c r="P8" i="1" s="1"/>
  <c r="L6" i="1"/>
  <c r="P6" i="1" s="1"/>
  <c r="L5" i="1"/>
  <c r="L11" i="1"/>
  <c r="P11" i="1" s="1"/>
  <c r="L10" i="1"/>
  <c r="P10" i="1" s="1"/>
  <c r="L7" i="1"/>
  <c r="P7" i="1" s="1"/>
  <c r="L18" i="1"/>
  <c r="P18" i="1" s="1"/>
  <c r="P5" i="1" l="1"/>
  <c r="L16" i="1"/>
  <c r="P16" i="1" s="1"/>
  <c r="L21" i="1"/>
  <c r="P21" i="1" s="1"/>
  <c r="L17" i="1"/>
  <c r="P17" i="1" s="1"/>
  <c r="L13" i="1"/>
  <c r="P13" i="1" s="1"/>
  <c r="L20" i="1"/>
  <c r="P20" i="1" s="1"/>
  <c r="L12" i="1" l="1"/>
  <c r="L215" i="1" s="1"/>
  <c r="P12" i="1" l="1"/>
  <c r="P215" i="1" s="1"/>
</calcChain>
</file>

<file path=xl/comments1.xml><?xml version="1.0" encoding="utf-8"?>
<comments xmlns="http://schemas.openxmlformats.org/spreadsheetml/2006/main">
  <authors>
    <author>Pra Café</author>
  </authors>
  <commentList>
    <comment ref="D135" authorId="0">
      <text>
        <r>
          <rPr>
            <b/>
            <sz val="9"/>
            <color indexed="81"/>
            <rFont val="Tahoma"/>
            <family val="2"/>
          </rPr>
          <t>Pra Café:</t>
        </r>
        <r>
          <rPr>
            <sz val="9"/>
            <color indexed="81"/>
            <rFont val="Tahoma"/>
            <family val="2"/>
          </rPr>
          <t xml:space="preserve">
3,60 PRETO
</t>
        </r>
      </text>
    </comment>
    <comment ref="D136" authorId="0">
      <text>
        <r>
          <rPr>
            <b/>
            <sz val="9"/>
            <color indexed="81"/>
            <rFont val="Tahoma"/>
            <family val="2"/>
          </rPr>
          <t>Pra Café:</t>
        </r>
        <r>
          <rPr>
            <sz val="9"/>
            <color indexed="81"/>
            <rFont val="Tahoma"/>
            <family val="2"/>
          </rPr>
          <t xml:space="preserve">
3,60 PRETO
</t>
        </r>
      </text>
    </comment>
    <comment ref="D137" authorId="0">
      <text>
        <r>
          <rPr>
            <b/>
            <sz val="9"/>
            <color indexed="81"/>
            <rFont val="Tahoma"/>
            <family val="2"/>
          </rPr>
          <t>Pra Café:</t>
        </r>
        <r>
          <rPr>
            <sz val="9"/>
            <color indexed="81"/>
            <rFont val="Tahoma"/>
            <family val="2"/>
          </rPr>
          <t xml:space="preserve">
3,60 PRETO
</t>
        </r>
      </text>
    </comment>
    <comment ref="D163" authorId="0">
      <text>
        <r>
          <rPr>
            <b/>
            <sz val="9"/>
            <color indexed="81"/>
            <rFont val="Tahoma"/>
            <family val="2"/>
          </rPr>
          <t>Pra Café:</t>
        </r>
        <r>
          <rPr>
            <sz val="9"/>
            <color indexed="81"/>
            <rFont val="Tahoma"/>
            <family val="2"/>
          </rPr>
          <t xml:space="preserve">
3,60 BRANCO
</t>
        </r>
      </text>
    </comment>
    <comment ref="D164" authorId="0">
      <text>
        <r>
          <rPr>
            <b/>
            <sz val="9"/>
            <color indexed="81"/>
            <rFont val="Tahoma"/>
            <family val="2"/>
          </rPr>
          <t>Pra Café:</t>
        </r>
        <r>
          <rPr>
            <sz val="9"/>
            <color indexed="81"/>
            <rFont val="Tahoma"/>
            <family val="2"/>
          </rPr>
          <t xml:space="preserve">
3,60 PRETO
</t>
        </r>
      </text>
    </comment>
  </commentList>
</comments>
</file>

<file path=xl/sharedStrings.xml><?xml version="1.0" encoding="utf-8"?>
<sst xmlns="http://schemas.openxmlformats.org/spreadsheetml/2006/main" count="1452" uniqueCount="512">
  <si>
    <t>CLIENTE</t>
  </si>
  <si>
    <t>TOTAL</t>
  </si>
  <si>
    <t>GRUPO PIANNA</t>
  </si>
  <si>
    <t>PENDENTE</t>
  </si>
  <si>
    <t>PRODUTO</t>
  </si>
  <si>
    <t>PRODUZIDO</t>
  </si>
  <si>
    <t>STATUS</t>
  </si>
  <si>
    <t>OP.GENÉRICA</t>
  </si>
  <si>
    <t>SACO Z LAM 60X100CM</t>
  </si>
  <si>
    <t>SACO Z CONV 50X80CM</t>
  </si>
  <si>
    <t>SACO Z CONV 45X45CM</t>
  </si>
  <si>
    <t>SACO Z CONV 65X100CM</t>
  </si>
  <si>
    <t>SACO Z CONV 60X100CM</t>
  </si>
  <si>
    <t>SACO Z CONV 60X90CM</t>
  </si>
  <si>
    <t>FINALIZADA</t>
  </si>
  <si>
    <t>Nº OP</t>
  </si>
  <si>
    <t>ML/PEDIDO</t>
  </si>
  <si>
    <t>BOBINAS</t>
  </si>
  <si>
    <t>03020095</t>
  </si>
  <si>
    <t>PANO CAFÉ ESPECIAL 80X2,20MT PRETO</t>
  </si>
  <si>
    <t>03020080</t>
  </si>
  <si>
    <t>PANO CAFÉ ESPECIAL 80X3,00MT PRETO</t>
  </si>
  <si>
    <t>03020097</t>
  </si>
  <si>
    <t>PANO CAFÉ ESPECIAL 80X2,80MT PRETO</t>
  </si>
  <si>
    <t>03020055</t>
  </si>
  <si>
    <t>PANO CAFÉ ESPECIAL 80X3,20MT PRETO</t>
  </si>
  <si>
    <t>03020072</t>
  </si>
  <si>
    <t>PANO CAFÉ ESPECIAL 80X3,30MT PRETO</t>
  </si>
  <si>
    <t>03020059</t>
  </si>
  <si>
    <t>PANO CAFÉ ESPECIAL 80X3,60MT PRETO</t>
  </si>
  <si>
    <t>03030002</t>
  </si>
  <si>
    <t>PANO CAFÉ Z COMUM</t>
  </si>
  <si>
    <t>03030003</t>
  </si>
  <si>
    <t>PANO CAFÉ Z COMUM 02SM</t>
  </si>
  <si>
    <t>03030004</t>
  </si>
  <si>
    <t>PANP CAFÉ Z COMUM 03SM</t>
  </si>
  <si>
    <t>03030005</t>
  </si>
  <si>
    <t>PANO CAFÉ Z COMUM 04SM</t>
  </si>
  <si>
    <t>03030006</t>
  </si>
  <si>
    <t>PANO CAFÉ Z COMUM 05SM</t>
  </si>
  <si>
    <t>03030007</t>
  </si>
  <si>
    <t>PANO CAFÉ Z COMUM 06SM</t>
  </si>
  <si>
    <t>03030008</t>
  </si>
  <si>
    <t>PANO CAFÉ Z COMUM 08SM</t>
  </si>
  <si>
    <t>03030009</t>
  </si>
  <si>
    <t>PANO CAFÉ Z COMUM 10SM</t>
  </si>
  <si>
    <t>03030010</t>
  </si>
  <si>
    <t>PANO CAFÉ Z COMUM 12SM</t>
  </si>
  <si>
    <t>03030011</t>
  </si>
  <si>
    <t>PANO CAFÉ Z COMUM 15SM</t>
  </si>
  <si>
    <t>03030012</t>
  </si>
  <si>
    <t>PANO CAFÉ Z COMUM 20SM</t>
  </si>
  <si>
    <t>03030013</t>
  </si>
  <si>
    <t>PANO CAFÉ Z COMUM 30SM</t>
  </si>
  <si>
    <t>03030015</t>
  </si>
  <si>
    <t>PANO CAFÉ Z COMUM 08X04</t>
  </si>
  <si>
    <t>03030016</t>
  </si>
  <si>
    <t>PANO CAFÉ Z COMUM 10X04</t>
  </si>
  <si>
    <t>03030017</t>
  </si>
  <si>
    <t>PANO CAFÉ Z COMUM 12X04</t>
  </si>
  <si>
    <t>03030018</t>
  </si>
  <si>
    <t>PANO CAFÉ Z COMUM 15X04</t>
  </si>
  <si>
    <t>03030019</t>
  </si>
  <si>
    <t>PANO CAFÉ Z COMUM 20X04</t>
  </si>
  <si>
    <t>03040114</t>
  </si>
  <si>
    <t xml:space="preserve">PANO CAFÉ Z ESPECIAL 08X04 </t>
  </si>
  <si>
    <t>03040115</t>
  </si>
  <si>
    <t>PANO CAFÉ Z ESPECIAL 10X04</t>
  </si>
  <si>
    <t>03040116</t>
  </si>
  <si>
    <t>PANO CAFÉ Z ESPECIAL 12X04</t>
  </si>
  <si>
    <t>03040117</t>
  </si>
  <si>
    <t>PANO CAFÉ Z ESPECIAL 15X04</t>
  </si>
  <si>
    <t>03040118</t>
  </si>
  <si>
    <t>PANO CAFÉ Z ESPECIAL 20X04</t>
  </si>
  <si>
    <t>03030021</t>
  </si>
  <si>
    <t>PANO CAFÉ Z COMUM 06X2,93MT</t>
  </si>
  <si>
    <t>03030022</t>
  </si>
  <si>
    <t>PANO CAFÉ Z COMUM 12X2,93MT</t>
  </si>
  <si>
    <t>03040140</t>
  </si>
  <si>
    <t>PANO CAFÉ Z COMUM 120X3,00MT</t>
  </si>
  <si>
    <t>03040141</t>
  </si>
  <si>
    <t>03040142</t>
  </si>
  <si>
    <t>03040143</t>
  </si>
  <si>
    <t>03040138</t>
  </si>
  <si>
    <t>PANO CAFÉ Z COMUM 30X2,80MT</t>
  </si>
  <si>
    <t>03040119</t>
  </si>
  <si>
    <t>PANO CAFÉ Z ESPECIAL 06X2,80 PRETO</t>
  </si>
  <si>
    <t>03040123</t>
  </si>
  <si>
    <t>PANO CAFÉ Z EESPECIAL 06X3,00 PRETO</t>
  </si>
  <si>
    <t>03040127</t>
  </si>
  <si>
    <t>PANO CAFÉ Z ESPECIAL 06X3,20 PRETO</t>
  </si>
  <si>
    <t>03040120</t>
  </si>
  <si>
    <t>PANO CAFÉ Z ESPECIAL 08X2,80 PRETO</t>
  </si>
  <si>
    <t>03040128</t>
  </si>
  <si>
    <t>PANO CAFÉ Z PESPECIAL 08X3,20 PRETO</t>
  </si>
  <si>
    <t>03040124</t>
  </si>
  <si>
    <t>PANO CAFÉ Z ESPECIAL 08X3,00 PRETO</t>
  </si>
  <si>
    <t>03040131</t>
  </si>
  <si>
    <t>PANO CAFÉ Z ESPECIAL 08X04 PRETO</t>
  </si>
  <si>
    <t>03040121</t>
  </si>
  <si>
    <t>PANO CAFÉ Z ESPECIAL 10X2,80 PRETO</t>
  </si>
  <si>
    <t>03040132</t>
  </si>
  <si>
    <t>PANO CAFÉ Z ESPECIAL 10X04 PRETO</t>
  </si>
  <si>
    <t>03040125</t>
  </si>
  <si>
    <t>PANO CAFÉ Z ESPECIAL 10X3,00 PRETO</t>
  </si>
  <si>
    <t>03040129</t>
  </si>
  <si>
    <t>PANO CAFÉ Z ESPECIAL 10X3,20 PRETO</t>
  </si>
  <si>
    <t>03040133</t>
  </si>
  <si>
    <t>PANO CAFÉ Z ESPECIAL 12X04 PRETO</t>
  </si>
  <si>
    <t>03040122</t>
  </si>
  <si>
    <t>PANO CAFÉ Z ESPECIAL 12X2,80 PRETO</t>
  </si>
  <si>
    <t>03040126</t>
  </si>
  <si>
    <t>PANO CAFÉ Z ESPECIAL 12X3,00 PRETO</t>
  </si>
  <si>
    <t>03040130</t>
  </si>
  <si>
    <t>PANO CAFÉ Z ESPECIAL 12X3,20 PRETO</t>
  </si>
  <si>
    <t>03040134</t>
  </si>
  <si>
    <t>PANO CAFÉ Z ESPECIAL 15X04 PRETO</t>
  </si>
  <si>
    <t>03040135</t>
  </si>
  <si>
    <t>PANO CAFÉ Z ESPECIAL 20X04 PRETO</t>
  </si>
  <si>
    <t xml:space="preserve">PANO CAFÉ Z ESPECIAL 30X2,80MT PRETO </t>
  </si>
  <si>
    <t>03040137</t>
  </si>
  <si>
    <t>PANO CAFÉ Z ESPECIAL 35X3,00MT PRETO</t>
  </si>
  <si>
    <t>03040139</t>
  </si>
  <si>
    <t>PANO CAFÉ Z ESPECIAL 40X3,20MT PRETO</t>
  </si>
  <si>
    <t>03040002</t>
  </si>
  <si>
    <t>PANO CAFÉ Z ESPECIAL 50X1,10MT PRETO</t>
  </si>
  <si>
    <t>03040003</t>
  </si>
  <si>
    <t>PANO CAFÉ Z ESPECIAL 50X2,20MT PRETO</t>
  </si>
  <si>
    <t>03040004</t>
  </si>
  <si>
    <t>PANO CAFÉ Z ESPECIAL 50X2,50MT PRETO</t>
  </si>
  <si>
    <t>03040005</t>
  </si>
  <si>
    <t>PANO CAFÉ Z ESPECIAL 50X2,80MT PRETO</t>
  </si>
  <si>
    <t>03040006</t>
  </si>
  <si>
    <t>PANO CAFÉ Z ESPECIAL 50X3,00MT PRETO</t>
  </si>
  <si>
    <t>03040007</t>
  </si>
  <si>
    <t>PANO CAFÉ Z ESPECIAL 50X3,20MT PRETO</t>
  </si>
  <si>
    <t>03040008</t>
  </si>
  <si>
    <t>PANO CAFÉ Z ESPECIAL 50X3,30MT PRETO</t>
  </si>
  <si>
    <t>03040009</t>
  </si>
  <si>
    <t>PANO CAFÉ Z ESPECIAL 50X3,60MT PRETO</t>
  </si>
  <si>
    <t>03040010</t>
  </si>
  <si>
    <t>PANO CAFÉ Z ESPECIAL 50X4,20MT PRETO</t>
  </si>
  <si>
    <t>03040011</t>
  </si>
  <si>
    <t>PANO CAFÉ Z ESPECIAL 55X1,10MT PRETO</t>
  </si>
  <si>
    <t>03040012</t>
  </si>
  <si>
    <t>PANO CAFÉ Z ESPECIAL 55X2,20MT PRETO</t>
  </si>
  <si>
    <t>03040013</t>
  </si>
  <si>
    <t>PANO CAFÉ Z ESPECIAL 55X2,50MT PRETO</t>
  </si>
  <si>
    <t>03040014</t>
  </si>
  <si>
    <t>PANO CAFÉ Z ESPECIAL 55X2,80MT PRETO</t>
  </si>
  <si>
    <t>03040015</t>
  </si>
  <si>
    <t>PANO CAFÉ Z ESPECIAL 55X3,00MT PRETO</t>
  </si>
  <si>
    <t>03040016</t>
  </si>
  <si>
    <t>PANO CAFÉ Z ESPECIAL 55X3,20MT PRETO</t>
  </si>
  <si>
    <t>03040017</t>
  </si>
  <si>
    <t>PANO CAFÉ Z ESPECIAL 55X3,30MT PRETO</t>
  </si>
  <si>
    <t>03040018</t>
  </si>
  <si>
    <t>PANO CAFÉ Z ESPECIAL 55X4,20MT PRETO</t>
  </si>
  <si>
    <t>03040019</t>
  </si>
  <si>
    <t>PANO CAFÉ Z ESPECIAL 55X3,60MT PRETO</t>
  </si>
  <si>
    <t>03040020</t>
  </si>
  <si>
    <t>PANO CAFÉ Z ESPECIAL 60X1,10MT PRETO</t>
  </si>
  <si>
    <t>03040021</t>
  </si>
  <si>
    <t>PANO CAFÉ Z ESPECIAL 60X2,20MT PRETO</t>
  </si>
  <si>
    <t>03040022</t>
  </si>
  <si>
    <t>PANO CAFÉ Z ESPECIAL 60X2,50MT PRETO</t>
  </si>
  <si>
    <t>03040023</t>
  </si>
  <si>
    <t>PANO CAFÉ Z ESPECIAL 60X2,80MT PRETO</t>
  </si>
  <si>
    <t>03040024</t>
  </si>
  <si>
    <t>PANO CAFÉ Z ESPECIAL 60X3,00MT PRETO</t>
  </si>
  <si>
    <t>03040025</t>
  </si>
  <si>
    <t>PANO CAFÉ Z ESPECIAL 60X3,20MT PRETO</t>
  </si>
  <si>
    <t>03040026</t>
  </si>
  <si>
    <t>PANO CAFÉ Z ESPECIAL 60X3,30MT PRETO</t>
  </si>
  <si>
    <t>03040027</t>
  </si>
  <si>
    <t>PANO CAFÉ Z ESPECIAL 60X3,60MT PRETO</t>
  </si>
  <si>
    <t>03040028</t>
  </si>
  <si>
    <t>PANO CAFÉ Z ESPECIAL 60X4,20MT PRETO</t>
  </si>
  <si>
    <t>03040029</t>
  </si>
  <si>
    <t>PANO CAFÉ Z ESPECIAL 65X1,10MT PRETO</t>
  </si>
  <si>
    <t>03040030</t>
  </si>
  <si>
    <t>PANO CAFÉ Z ESPECIAL 65X2,20MT PRETO</t>
  </si>
  <si>
    <t>03040031</t>
  </si>
  <si>
    <t>PANO CAFÉ Z ESPECIAL 65X2,50MT PRETO</t>
  </si>
  <si>
    <t>03040032</t>
  </si>
  <si>
    <t>PANO CAFÉ Z ESPECIAL 65X2,80MT PRETO</t>
  </si>
  <si>
    <t>03040033</t>
  </si>
  <si>
    <t>PANO CAFÉ Z ESPECIAL 65X3,00MT PRETO</t>
  </si>
  <si>
    <t>03040034</t>
  </si>
  <si>
    <t>PANO CAFÉ Z ESPECIAL 65X3,20MT PRETO</t>
  </si>
  <si>
    <t>03040035</t>
  </si>
  <si>
    <t>PANO CAFÉ Z ESPECIAL 65X3,30MT PRETO</t>
  </si>
  <si>
    <t>03040036</t>
  </si>
  <si>
    <t>PANO CAFÉ Z ESPECIAL 65X3,60MT PRETO</t>
  </si>
  <si>
    <t>03040037</t>
  </si>
  <si>
    <t>PANO CAFÉ Z ESPECIAL 65X4,20MT PRETO</t>
  </si>
  <si>
    <t>03040038</t>
  </si>
  <si>
    <t>PANO CAFÉ Z ESPECIAL 70X1,10MT PRETO</t>
  </si>
  <si>
    <t>03040039</t>
  </si>
  <si>
    <t>PANO CAFÉ Z ESPECIAL 70X2,20MT PRETO</t>
  </si>
  <si>
    <t>03040040</t>
  </si>
  <si>
    <t>PANO CAFÉ Z ESPECIAL 70X2,50MT PRETO</t>
  </si>
  <si>
    <t>03040041</t>
  </si>
  <si>
    <t>PANO CAFÉ Z ESPECIAL 70X2,80MT PRETO</t>
  </si>
  <si>
    <t>03040042</t>
  </si>
  <si>
    <t>PANO CAFÉ Z ESPECIAL 70X3,00MT PRETO</t>
  </si>
  <si>
    <t>03040043</t>
  </si>
  <si>
    <t>PANO CAFÉ Z ESPECIAL 70X3,20MT PRETO</t>
  </si>
  <si>
    <t>03040044</t>
  </si>
  <si>
    <t>PANO CAFÉ Z ESPECIAL 70X3,30MT PRETO</t>
  </si>
  <si>
    <t>03040045</t>
  </si>
  <si>
    <t>PANO CAFÉ Z ESPECIAL 70X3,60MT PRETO</t>
  </si>
  <si>
    <t>03040046</t>
  </si>
  <si>
    <t>PANO CAFÉ Z ESPECIAL 70X4,20MT PRETO</t>
  </si>
  <si>
    <t>03040047</t>
  </si>
  <si>
    <t>PANO CAFÉ Z ESPECIAL 75X1,10MT PRETO</t>
  </si>
  <si>
    <t>03040048</t>
  </si>
  <si>
    <t>PANO CAFÉ Z ESPECIAL 75X2,20MT PRETO</t>
  </si>
  <si>
    <t>03040050</t>
  </si>
  <si>
    <t>PANO CAFÉ Z ESPECIAL 75X2,50MT PRETO</t>
  </si>
  <si>
    <t>03040051</t>
  </si>
  <si>
    <t>PANO CAFÉ Z ESPECIAL 75X2,80MT PRETO</t>
  </si>
  <si>
    <t>03040052</t>
  </si>
  <si>
    <t>PANO CAFÉ Z ESPECIAL 75X3,20MT PRETO</t>
  </si>
  <si>
    <t>03040053</t>
  </si>
  <si>
    <t>PANO CAFÉ Z ESPECIAL 75X3,30MT PRETO</t>
  </si>
  <si>
    <t>03040054</t>
  </si>
  <si>
    <t>PANO CAFÉ Z ESPECIAL 75X3,60MT PRETO</t>
  </si>
  <si>
    <t>03040055</t>
  </si>
  <si>
    <t>PANO CAFÉ Z ESPECIAL 75X4,20MT PRETO</t>
  </si>
  <si>
    <t>03040056</t>
  </si>
  <si>
    <t>PANO CAFÉ Z ESPECIAL 80X1,10MT PRETO</t>
  </si>
  <si>
    <t>03040057</t>
  </si>
  <si>
    <t>PANO CAFÉ Z ESPECIAL 80X2,20MT PRETO</t>
  </si>
  <si>
    <t>03040058</t>
  </si>
  <si>
    <t>PANO CAFÉ Z ESPECIAL 75X3,00MT PRETO</t>
  </si>
  <si>
    <t>03040059</t>
  </si>
  <si>
    <t>PANO CAFÉ Z ESPECIAL 80X2,50MT PRETO</t>
  </si>
  <si>
    <t>03040060</t>
  </si>
  <si>
    <t>PANO CAFÉ Z ESPECIAL 80X2,80MT PRETO</t>
  </si>
  <si>
    <t>03040061</t>
  </si>
  <si>
    <t>PANO CAFÉ Z ESPECIAL 80X3,00MT PRETO</t>
  </si>
  <si>
    <t>03040062</t>
  </si>
  <si>
    <t>PANO CAFÉ Z ESPECIAL 80X3,20MT PRETO</t>
  </si>
  <si>
    <t>03040063</t>
  </si>
  <si>
    <t>PANO CAFÉ Z ESPECIAL 80X3,30MT PRETO</t>
  </si>
  <si>
    <t>03040064</t>
  </si>
  <si>
    <t>PANO CAFÉ Z ESPECIAL 80X3,60MT PRETO</t>
  </si>
  <si>
    <t>03040065</t>
  </si>
  <si>
    <t>PANO CAFÉ Z ESPECIAL 80X4,20MT PRETO</t>
  </si>
  <si>
    <t>03040066</t>
  </si>
  <si>
    <t>PANO CAFÉ Z ESPECIAL 85X1,10MT PRETO</t>
  </si>
  <si>
    <t>03040067</t>
  </si>
  <si>
    <t>PANO CAFÉ Z ESPECIAL 85X2,20MT PRETO</t>
  </si>
  <si>
    <t>03040068</t>
  </si>
  <si>
    <t>PANO CAFÉ Z ESPECIAL 85X2,50MT PRETO</t>
  </si>
  <si>
    <t>03040069</t>
  </si>
  <si>
    <t>PANO CAFÉ Z ESPECIAL 85X2,80MT PRETO</t>
  </si>
  <si>
    <t>03040070</t>
  </si>
  <si>
    <t>PANO CAFÉ Z ESPECIAL 85X3,00MT PRETO</t>
  </si>
  <si>
    <t>03040071</t>
  </si>
  <si>
    <t>PANO CAFÉ Z ESPECIAL 85X3,20MT PRETO</t>
  </si>
  <si>
    <t>03040072</t>
  </si>
  <si>
    <t>PANO CAFÉ Z ESPECIAL 85X3,30MT PRETO</t>
  </si>
  <si>
    <t>03040073</t>
  </si>
  <si>
    <t>PANO CAFÉ Z ESPECIAL 85X3,60MT PRETO</t>
  </si>
  <si>
    <t>03040074</t>
  </si>
  <si>
    <t>PANO CAFÉ Z ESPECIAL 85X4,20MT PRETO</t>
  </si>
  <si>
    <t>03040075</t>
  </si>
  <si>
    <t>PANO CAFÉ Z ESPECIAL 90X1,10MT PRETO</t>
  </si>
  <si>
    <t>03040076</t>
  </si>
  <si>
    <t>PANO CAFÉ Z ESPECIAL 90X2,20MT PRETO</t>
  </si>
  <si>
    <t>03040077</t>
  </si>
  <si>
    <t>PANO CAFÉ Z ESPECIAL 90X2,50MT PRETO</t>
  </si>
  <si>
    <t>03040078</t>
  </si>
  <si>
    <t>PANO CAFÉ Z ESPECIAL 90X2,80MT PRETO</t>
  </si>
  <si>
    <t>03040079</t>
  </si>
  <si>
    <t>PANO CAFÉ Z ESECIAL 90X3,00MT PRETO</t>
  </si>
  <si>
    <t>03040080</t>
  </si>
  <si>
    <t>PANO CAFÉ Z ESPECIAL 90X3,20MT PRETO</t>
  </si>
  <si>
    <t>03040081</t>
  </si>
  <si>
    <t>PANO CAFÉ Z ESPECIAL 90X3,30MT PRETO</t>
  </si>
  <si>
    <t>03040082</t>
  </si>
  <si>
    <t>PANO CAFÉ Z ESPECIAL 90X3,60MT PRETO</t>
  </si>
  <si>
    <t>03040083</t>
  </si>
  <si>
    <t>PANO CAFÉ Z ESPECIAL 90X4,20MT PRETO</t>
  </si>
  <si>
    <t>03040084</t>
  </si>
  <si>
    <t>PANO CAFÉ Z ESPECIAL 95X1,10MT PRETO</t>
  </si>
  <si>
    <t>03040085</t>
  </si>
  <si>
    <t>PANO CAFÉ Z ESPECIAL 95X2,20MT PRETO</t>
  </si>
  <si>
    <t>03040086</t>
  </si>
  <si>
    <t>PANO CAFÉ Z ESPECIAL 95X2,50MT PRETO</t>
  </si>
  <si>
    <t>03040087</t>
  </si>
  <si>
    <t>PANO CAFÉ Z ESPECIAL 95X2,80MT PRETO</t>
  </si>
  <si>
    <t>03040088</t>
  </si>
  <si>
    <t>PANO CAFÉ Z ESPECIAL 95X3,00MT PRETO</t>
  </si>
  <si>
    <t>03040089</t>
  </si>
  <si>
    <t>PANO CAFÉ Z ESPECIAL 95X3,20MT PRETO</t>
  </si>
  <si>
    <t>03040090</t>
  </si>
  <si>
    <t>PANO CAFÉ Z ESPECIAL 95X3,30MT PRETO</t>
  </si>
  <si>
    <t>03040091</t>
  </si>
  <si>
    <t>PANO CAFÉ Z ESPECIAL 95X3,60MT PRETO</t>
  </si>
  <si>
    <t>03040092</t>
  </si>
  <si>
    <t>PANO CAFÉ Z ESPECIAL 95X4,20MT PRETO</t>
  </si>
  <si>
    <t>03040093</t>
  </si>
  <si>
    <t>PANO CAFÉ Z ESPECIAL 100X1,10MT PRETO</t>
  </si>
  <si>
    <t>03040094</t>
  </si>
  <si>
    <t>PANO CAFÉ Z ESPECIAL 100X2,20MT PRETO</t>
  </si>
  <si>
    <t>03040095</t>
  </si>
  <si>
    <t>PANO CAFÉ Z ESPECIAL 100X2,50MT PRETO</t>
  </si>
  <si>
    <t>03040096</t>
  </si>
  <si>
    <t>PANO CAFÉ Z ESPECIAL 100X2,80MT PRETO</t>
  </si>
  <si>
    <t>03040097</t>
  </si>
  <si>
    <t xml:space="preserve">PANO CAFÉ Z ESPECIAL 100X3,00MT PRETO </t>
  </si>
  <si>
    <t>03040098</t>
  </si>
  <si>
    <t>PANO CAFÉ Z ESPECIAL 100X3,20MT PRETO</t>
  </si>
  <si>
    <t>03040099</t>
  </si>
  <si>
    <t>PANO CAFÉ Z ESPECIAL 100X3,30MT PRETO</t>
  </si>
  <si>
    <t>03040100</t>
  </si>
  <si>
    <t>PANO CAFÉ Z ESPECIAL 100X3,60MT PRETO</t>
  </si>
  <si>
    <t>03040101</t>
  </si>
  <si>
    <t>PANO CAFÉ Z ESPECIAL 100X4,20MT PRETO</t>
  </si>
  <si>
    <t>03040102</t>
  </si>
  <si>
    <t>PANO CAFÉ Z ESPECIAL 110X1,10MT PRETO</t>
  </si>
  <si>
    <t>03040103</t>
  </si>
  <si>
    <t>PANO CAFÉ Z ESPECIAL 110X2,20MT PRETO</t>
  </si>
  <si>
    <t>03040104</t>
  </si>
  <si>
    <t>PANO CAFÉ Z ESPECIAL 110X2,50MT PRETO</t>
  </si>
  <si>
    <t>03040105</t>
  </si>
  <si>
    <t>PANO CAFÉ Z ESPECIAL 110X2,80MT PRETO</t>
  </si>
  <si>
    <t>03040106</t>
  </si>
  <si>
    <t>PANO CAFÉ Z ESPECIAL 110X3,00MT PRETO</t>
  </si>
  <si>
    <t>03040107</t>
  </si>
  <si>
    <t>PANO CAFÉ Z ESPECIAL 110X3,20MT PRETO</t>
  </si>
  <si>
    <t>03040108</t>
  </si>
  <si>
    <t>PANO CAFÉ Z ESPECIAL 110X3,30MT PRETO</t>
  </si>
  <si>
    <t>03040109</t>
  </si>
  <si>
    <t>PANO CAFÉ Z ESPECIAL 110X3,60MT PRETO</t>
  </si>
  <si>
    <t>03040110</t>
  </si>
  <si>
    <t>PANO CAFÉ Z ESPECIAL 110X4,20MT PRETO</t>
  </si>
  <si>
    <t>03040111</t>
  </si>
  <si>
    <t>PANO CAFÉ Z ESPECIAL 010X3,00MT PRETO</t>
  </si>
  <si>
    <t>03040112</t>
  </si>
  <si>
    <t>PANO CAFÉ Z ESPECIAL 08X3,00MT PRETO</t>
  </si>
  <si>
    <t>03040113</t>
  </si>
  <si>
    <t>PANO CAFÉ Z ESPECIAL 06X2,80MT PRETO</t>
  </si>
  <si>
    <t>SACO CONVENCIONAL 60X95CM</t>
  </si>
  <si>
    <t>SACO LAMINADO 50X80CM</t>
  </si>
  <si>
    <t>SACO LAMINADO 65X90CM</t>
  </si>
  <si>
    <t>SACO Z CONV 50X75CM</t>
  </si>
  <si>
    <t>SACO Z CONV 50X90CM</t>
  </si>
  <si>
    <t>SACO Z CONV 55X80CM</t>
  </si>
  <si>
    <t>SACO Z CONV 60X80CM</t>
  </si>
  <si>
    <t>SACO Z CONV 65X90CM</t>
  </si>
  <si>
    <t>SACO Z CONV 65X95CM</t>
  </si>
  <si>
    <t>SACO Z CONV 70X100CM</t>
  </si>
  <si>
    <t>SACO Z LAM 50X80CM</t>
  </si>
  <si>
    <t>SACO Z LAM 55X80CM</t>
  </si>
  <si>
    <t>SACO Z LAM 60X90CM</t>
  </si>
  <si>
    <t>SACO Z LAM 65X100CM</t>
  </si>
  <si>
    <t>TECIDO Z PLANO CONV 100CM 190GR</t>
  </si>
  <si>
    <t>08060007</t>
  </si>
  <si>
    <t>08060006</t>
  </si>
  <si>
    <t>TECIDO Z TUB CONV 55CM</t>
  </si>
  <si>
    <t>08010001</t>
  </si>
  <si>
    <t>TECIDO Z LAM</t>
  </si>
  <si>
    <t>08060004</t>
  </si>
  <si>
    <t>TECIDO Z TUB LAM 50CM 58GR</t>
  </si>
  <si>
    <t>08060002</t>
  </si>
  <si>
    <t>TECIDO Z TUB LAM 45CM 58GR</t>
  </si>
  <si>
    <t>08060001</t>
  </si>
  <si>
    <t>TECIDO Z PLANO LAM 100CM 67GR</t>
  </si>
  <si>
    <t>08080007</t>
  </si>
  <si>
    <t>TECIDO Z TUB CONV 360CM 160GR</t>
  </si>
  <si>
    <t>08050010</t>
  </si>
  <si>
    <t>TECIDO Z TUB CONV 360CM 190GR</t>
  </si>
  <si>
    <t>08050003</t>
  </si>
  <si>
    <t>08050009</t>
  </si>
  <si>
    <t>TECIDO Z PLANO CONV 115X190GR</t>
  </si>
  <si>
    <t>08070004</t>
  </si>
  <si>
    <t>08070001</t>
  </si>
  <si>
    <t>TECIDO Z PLANO CONV 100CM 160GR</t>
  </si>
  <si>
    <t>08070015</t>
  </si>
  <si>
    <t>TECIDO Z TUB CONV 70CM 54GR</t>
  </si>
  <si>
    <t>08050002</t>
  </si>
  <si>
    <t>TECIDO Z TUB CONV 65CM 54GR</t>
  </si>
  <si>
    <t>08050004</t>
  </si>
  <si>
    <t>TECIDO Z TUB CONV 60CM 54GR</t>
  </si>
  <si>
    <t>08050005</t>
  </si>
  <si>
    <t>TECIDO Z TUB CONV 65CM 45GR</t>
  </si>
  <si>
    <t>08050014</t>
  </si>
  <si>
    <t>08050013</t>
  </si>
  <si>
    <t>CONTROLE DE PRODUÇÃO PRACAFÉ</t>
  </si>
  <si>
    <t>1º</t>
  </si>
  <si>
    <t>2º</t>
  </si>
  <si>
    <t>3º</t>
  </si>
  <si>
    <t>6º</t>
  </si>
  <si>
    <t>5º</t>
  </si>
  <si>
    <t>PESO</t>
  </si>
  <si>
    <t>BOB. PEDIDO</t>
  </si>
  <si>
    <t>SACO Z CONV 45X60CM</t>
  </si>
  <si>
    <t>%</t>
  </si>
  <si>
    <t>08030001</t>
  </si>
  <si>
    <t>08010004</t>
  </si>
  <si>
    <t>08060005</t>
  </si>
  <si>
    <t>08050007</t>
  </si>
  <si>
    <t>TECIDO Z TUB LAM 55CM</t>
  </si>
  <si>
    <t>TECIDO Z TUB LEVE</t>
  </si>
  <si>
    <t>PEDIDO</t>
  </si>
  <si>
    <t>ESTOQUE</t>
  </si>
  <si>
    <t>8º</t>
  </si>
  <si>
    <t>PESO TTL</t>
  </si>
  <si>
    <t xml:space="preserve">ADELMO </t>
  </si>
  <si>
    <t>CACOAL RO</t>
  </si>
  <si>
    <t>EMBARCADA</t>
  </si>
  <si>
    <t>MANHAÇU</t>
  </si>
  <si>
    <t>CONTROLE DE ESTOQUE</t>
  </si>
  <si>
    <t>QTD</t>
  </si>
  <si>
    <t>PANO CAFÉ Z COMUM 06X2,70MT</t>
  </si>
  <si>
    <t>BOB. ESTOQUE</t>
  </si>
  <si>
    <t>7°</t>
  </si>
  <si>
    <t>DATA OP</t>
  </si>
  <si>
    <t>-</t>
  </si>
  <si>
    <t>CÓDIGO</t>
  </si>
  <si>
    <t>DESCRIÇÃO</t>
  </si>
  <si>
    <t>Total Geral</t>
  </si>
  <si>
    <t>9A</t>
  </si>
  <si>
    <t>9B</t>
  </si>
  <si>
    <t>LAUHUMAN</t>
  </si>
  <si>
    <t>9C</t>
  </si>
  <si>
    <t>MODELO</t>
  </si>
  <si>
    <t xml:space="preserve"> PEDIDO</t>
  </si>
  <si>
    <t xml:space="preserve"> PRODUZIDO</t>
  </si>
  <si>
    <t xml:space="preserve"> DIF</t>
  </si>
  <si>
    <t>SINEAR -ES</t>
  </si>
  <si>
    <t>AGRO PAVÃO - ES</t>
  </si>
  <si>
    <t>ARLINDO SCHUTZZ</t>
  </si>
  <si>
    <t>GRUPO FAE</t>
  </si>
  <si>
    <t>OP.ESTOQUE</t>
  </si>
  <si>
    <t>CONSUMO</t>
  </si>
  <si>
    <t>CONSUMO RESTANTE</t>
  </si>
  <si>
    <t>PANO CAFÉ Z COMUM 04X2,70MT</t>
  </si>
  <si>
    <t>BOB. NECESSIDADE</t>
  </si>
  <si>
    <t>PANO CAFÉ ESPECIAL 10X3,85MT</t>
  </si>
  <si>
    <t>PANO CAFÉ ESPECIAL 20X3,85MT</t>
  </si>
  <si>
    <t>PANO CAFÉ ESPECIAL 15X3,85MT</t>
  </si>
  <si>
    <t>ZM COMERCIO</t>
  </si>
  <si>
    <t>PANO CAFÉ Z ESPECIAL 06X3,00 PRETO</t>
  </si>
  <si>
    <t>VA RAGNINI FILHO</t>
  </si>
  <si>
    <t>001312 /18</t>
  </si>
  <si>
    <t>001308 / 19</t>
  </si>
  <si>
    <t>PERIATO E LOCATELLI</t>
  </si>
  <si>
    <t>COCATREL</t>
  </si>
  <si>
    <t>21-0001316</t>
  </si>
  <si>
    <t>RODIGO TOLEDO</t>
  </si>
  <si>
    <t>22-0001317</t>
  </si>
  <si>
    <t>AGROBESSA</t>
  </si>
  <si>
    <t>23-0001319</t>
  </si>
  <si>
    <t>BRISKE BUENO</t>
  </si>
  <si>
    <t>(vazio)</t>
  </si>
  <si>
    <t>Valores</t>
  </si>
  <si>
    <t>Soma de PESO TTL</t>
  </si>
  <si>
    <t xml:space="preserve"> QTD BOBINAS</t>
  </si>
  <si>
    <t xml:space="preserve"> MODELOS</t>
  </si>
  <si>
    <t xml:space="preserve"> 'QTD BOBINAS</t>
  </si>
  <si>
    <t xml:space="preserve"> ' KG</t>
  </si>
  <si>
    <t>SANTA JÚLIA</t>
  </si>
  <si>
    <t>BRANCO</t>
  </si>
  <si>
    <t>21 - SEM OP</t>
  </si>
  <si>
    <t>PRETO</t>
  </si>
  <si>
    <t>20 -001330</t>
  </si>
  <si>
    <t>22 - SEM OP</t>
  </si>
  <si>
    <t>23 - SEM OP</t>
  </si>
  <si>
    <t>COOCAFE LAJINHA</t>
  </si>
  <si>
    <t>PANO CAFÉ ESPECIAL 12X3,85MT</t>
  </si>
  <si>
    <t>SYAGE</t>
  </si>
  <si>
    <t>26 - SEM OP</t>
  </si>
  <si>
    <t>27 - SEM OP</t>
  </si>
  <si>
    <t>28 - SEM OP</t>
  </si>
  <si>
    <t>24 - 001346</t>
  </si>
  <si>
    <t>25 - 001347</t>
  </si>
  <si>
    <t>29 - 001348</t>
  </si>
  <si>
    <t>20 -001331</t>
  </si>
  <si>
    <t>EM PROCESSO</t>
  </si>
  <si>
    <t>30 - SEM OP</t>
  </si>
  <si>
    <t>PANO CAFÉ Z ESPECIAL 70X4,15MT PRETO</t>
  </si>
  <si>
    <t>PIANNA</t>
  </si>
  <si>
    <t>HUGO NATAN</t>
  </si>
  <si>
    <t>30 - 001377</t>
  </si>
  <si>
    <t>31 - 001382</t>
  </si>
  <si>
    <t xml:space="preserve">RAGNINI </t>
  </si>
  <si>
    <t>32 - S/OP</t>
  </si>
  <si>
    <t>33 - S/OP</t>
  </si>
  <si>
    <t>JS VIEIRA CARATINGA</t>
  </si>
  <si>
    <t>PANO CAFÉ ZM6 5,50X2,52M</t>
  </si>
  <si>
    <t>34 - S/OP</t>
  </si>
  <si>
    <t>35 - S/OP</t>
  </si>
  <si>
    <t>FERTISOLO MANHUMIRIM</t>
  </si>
  <si>
    <t>36 - S/OP</t>
  </si>
  <si>
    <t>37 - S/OP</t>
  </si>
  <si>
    <t>PROMAQ</t>
  </si>
  <si>
    <t>38 - S/OP</t>
  </si>
  <si>
    <t>39 - S/OP</t>
  </si>
  <si>
    <t>40 - S/OP</t>
  </si>
  <si>
    <t>AGUARDANDO MEDIDA</t>
  </si>
  <si>
    <t>AGROFÉRTIL</t>
  </si>
  <si>
    <t>41 - S/OP</t>
  </si>
  <si>
    <t>42 - S/OP</t>
  </si>
  <si>
    <t>43 - S/OP</t>
  </si>
  <si>
    <t>44 - S/OP</t>
  </si>
  <si>
    <t>45 - S/OP</t>
  </si>
  <si>
    <t>carregada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</si>
</sst>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&quot;+&quot;#,##0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S Reference Sans Serif"/>
      <family val="2"/>
    </font>
    <font>
      <sz val="9"/>
      <color theme="1"/>
      <name val="Calibri"/>
      <family val="2"/>
      <scheme val="minor"/>
    </font>
    <font>
      <b/>
      <sz val="9"/>
      <name val="MS Reference Sans Serif"/>
      <family val="2"/>
    </font>
    <font>
      <b/>
      <sz val="9"/>
      <color theme="1"/>
      <name val="MS Reference Sans Serif"/>
      <family val="2"/>
    </font>
    <font>
      <b/>
      <sz val="9"/>
      <color theme="0"/>
      <name val="MS Reference Sans Serif"/>
      <family val="2"/>
    </font>
    <font>
      <b/>
      <sz val="9"/>
      <color indexed="9"/>
      <name val="MS Reference Sans Serif"/>
      <family val="2"/>
    </font>
    <font>
      <sz val="10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8"/>
      <color theme="1"/>
      <name val="MS Reference Sans Serif"/>
      <family val="2"/>
    </font>
    <font>
      <b/>
      <sz val="8"/>
      <color theme="1"/>
      <name val="MS Reference Sans Serif"/>
      <family val="2"/>
    </font>
    <font>
      <sz val="8"/>
      <color theme="1"/>
      <name val="MS Reference Sans Serif"/>
      <family val="2"/>
    </font>
    <font>
      <sz val="8"/>
      <color theme="1"/>
      <name val="MS Reference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MS Reference Sans Serif"/>
      <family val="2"/>
    </font>
    <font>
      <sz val="8"/>
      <color theme="1"/>
      <name val="MS Reference Sans Serif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7" tint="0.39997558519241921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164" fontId="5" fillId="0" borderId="0" xfId="1" applyNumberFormat="1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3" fillId="4" borderId="0" xfId="0" applyFont="1" applyFill="1"/>
    <xf numFmtId="3" fontId="5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1" fontId="2" fillId="4" borderId="0" xfId="0" applyNumberFormat="1" applyFont="1" applyFill="1" applyAlignment="1">
      <alignment horizontal="center" vertical="center"/>
    </xf>
    <xf numFmtId="9" fontId="8" fillId="4" borderId="1" xfId="2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9" fontId="5" fillId="3" borderId="1" xfId="2" applyFont="1" applyFill="1" applyBorder="1" applyAlignment="1">
      <alignment horizontal="center"/>
    </xf>
    <xf numFmtId="164" fontId="2" fillId="4" borderId="0" xfId="1" applyNumberFormat="1" applyFont="1" applyFill="1" applyAlignment="1">
      <alignment vertical="center"/>
    </xf>
    <xf numFmtId="0" fontId="9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9" fontId="8" fillId="5" borderId="1" xfId="2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3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/>
    </xf>
    <xf numFmtId="9" fontId="8" fillId="6" borderId="1" xfId="2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/>
    </xf>
    <xf numFmtId="9" fontId="8" fillId="7" borderId="1" xfId="2" applyFont="1" applyFill="1" applyBorder="1" applyAlignment="1">
      <alignment horizontal="center" vertical="center"/>
    </xf>
    <xf numFmtId="0" fontId="5" fillId="0" borderId="0" xfId="0" applyFont="1"/>
    <xf numFmtId="14" fontId="2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/>
    </xf>
    <xf numFmtId="165" fontId="10" fillId="9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11" borderId="0" xfId="0" applyFont="1" applyFill="1"/>
    <xf numFmtId="3" fontId="10" fillId="8" borderId="0" xfId="0" applyNumberFormat="1" applyFont="1" applyFill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7" fillId="4" borderId="0" xfId="0" applyNumberFormat="1" applyFont="1" applyFill="1" applyAlignment="1">
      <alignment vertical="center"/>
    </xf>
    <xf numFmtId="43" fontId="11" fillId="3" borderId="8" xfId="0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vertical="center"/>
    </xf>
    <xf numFmtId="43" fontId="5" fillId="2" borderId="1" xfId="0" applyNumberFormat="1" applyFont="1" applyFill="1" applyBorder="1" applyAlignment="1">
      <alignment horizontal="center"/>
    </xf>
    <xf numFmtId="43" fontId="10" fillId="8" borderId="0" xfId="0" applyNumberFormat="1" applyFont="1" applyFill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2" fillId="8" borderId="1" xfId="0" applyNumberFormat="1" applyFont="1" applyFill="1" applyBorder="1" applyAlignment="1">
      <alignment vertical="center"/>
    </xf>
    <xf numFmtId="164" fontId="2" fillId="8" borderId="1" xfId="1" applyNumberFormat="1" applyFont="1" applyFill="1" applyBorder="1" applyAlignment="1">
      <alignment vertical="center"/>
    </xf>
    <xf numFmtId="43" fontId="10" fillId="0" borderId="0" xfId="1" applyFont="1"/>
    <xf numFmtId="2" fontId="10" fillId="0" borderId="0" xfId="0" applyNumberFormat="1" applyFont="1"/>
    <xf numFmtId="164" fontId="10" fillId="0" borderId="0" xfId="1" applyNumberFormat="1" applyFont="1"/>
    <xf numFmtId="0" fontId="5" fillId="6" borderId="1" xfId="0" quotePrefix="1" applyFont="1" applyFill="1" applyBorder="1" applyAlignment="1">
      <alignment horizontal="center" vertical="center"/>
    </xf>
    <xf numFmtId="0" fontId="13" fillId="0" borderId="0" xfId="0" applyFont="1"/>
    <xf numFmtId="164" fontId="13" fillId="0" borderId="0" xfId="0" applyNumberFormat="1" applyFont="1"/>
    <xf numFmtId="0" fontId="5" fillId="5" borderId="1" xfId="0" quotePrefix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/>
    <xf numFmtId="164" fontId="16" fillId="0" borderId="0" xfId="0" applyNumberFormat="1" applyFont="1"/>
    <xf numFmtId="0" fontId="16" fillId="2" borderId="0" xfId="0" applyFont="1" applyFill="1" applyAlignment="1">
      <alignment horizontal="center"/>
    </xf>
    <xf numFmtId="0" fontId="16" fillId="2" borderId="0" xfId="0" applyFont="1" applyFill="1"/>
    <xf numFmtId="164" fontId="16" fillId="2" borderId="0" xfId="0" applyNumberFormat="1" applyFont="1" applyFill="1"/>
    <xf numFmtId="0" fontId="16" fillId="2" borderId="0" xfId="0" applyFont="1" applyFill="1" applyAlignment="1">
      <alignment horizontal="left"/>
    </xf>
    <xf numFmtId="0" fontId="16" fillId="0" borderId="0" xfId="0" pivotButton="1" applyFont="1"/>
    <xf numFmtId="2" fontId="16" fillId="0" borderId="0" xfId="0" applyNumberFormat="1" applyFont="1"/>
    <xf numFmtId="0" fontId="5" fillId="12" borderId="1" xfId="0" applyFont="1" applyFill="1" applyBorder="1" applyAlignment="1">
      <alignment horizontal="center"/>
    </xf>
    <xf numFmtId="0" fontId="5" fillId="12" borderId="1" xfId="0" quotePrefix="1" applyFont="1" applyFill="1" applyBorder="1" applyAlignment="1">
      <alignment horizontal="center" vertical="center"/>
    </xf>
    <xf numFmtId="165" fontId="17" fillId="9" borderId="0" xfId="0" applyNumberFormat="1" applyFont="1" applyFill="1" applyAlignment="1">
      <alignment horizontal="center" vertical="center"/>
    </xf>
    <xf numFmtId="165" fontId="17" fillId="6" borderId="0" xfId="0" applyNumberFormat="1" applyFont="1" applyFill="1" applyAlignment="1">
      <alignment horizontal="center" vertical="center"/>
    </xf>
    <xf numFmtId="165" fontId="17" fillId="7" borderId="0" xfId="0" applyNumberFormat="1" applyFont="1" applyFill="1" applyAlignment="1">
      <alignment horizontal="center" vertical="center"/>
    </xf>
    <xf numFmtId="165" fontId="17" fillId="8" borderId="0" xfId="0" applyNumberFormat="1" applyFont="1" applyFill="1" applyAlignment="1">
      <alignment horizontal="center" vertical="center"/>
    </xf>
    <xf numFmtId="164" fontId="17" fillId="8" borderId="0" xfId="0" applyNumberFormat="1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7" fillId="9" borderId="0" xfId="0" applyFont="1" applyFill="1" applyAlignment="1">
      <alignment horizontal="left"/>
    </xf>
    <xf numFmtId="0" fontId="17" fillId="6" borderId="0" xfId="0" applyFont="1" applyFill="1" applyAlignment="1">
      <alignment horizontal="left"/>
    </xf>
    <xf numFmtId="0" fontId="17" fillId="7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165" fontId="17" fillId="13" borderId="0" xfId="0" applyNumberFormat="1" applyFont="1" applyFill="1" applyAlignment="1">
      <alignment horizontal="center" vertical="center"/>
    </xf>
    <xf numFmtId="0" fontId="2" fillId="12" borderId="1" xfId="0" applyFont="1" applyFill="1" applyBorder="1" applyAlignment="1">
      <alignment horizontal="left"/>
    </xf>
    <xf numFmtId="3" fontId="2" fillId="12" borderId="1" xfId="0" applyNumberFormat="1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/>
    </xf>
    <xf numFmtId="9" fontId="8" fillId="12" borderId="1" xfId="2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/>
    </xf>
    <xf numFmtId="164" fontId="2" fillId="14" borderId="1" xfId="1" applyNumberFormat="1" applyFont="1" applyFill="1" applyBorder="1" applyAlignment="1">
      <alignment vertical="center"/>
    </xf>
    <xf numFmtId="164" fontId="2" fillId="14" borderId="1" xfId="0" applyNumberFormat="1" applyFont="1" applyFill="1" applyBorder="1" applyAlignment="1">
      <alignment vertical="center"/>
    </xf>
    <xf numFmtId="43" fontId="2" fillId="14" borderId="1" xfId="1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1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" formatCode="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numFmt numFmtId="164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64" formatCode="_-* #,##0_-;\-* #,##0_-;_-* &quot;-&quot;??_-;_-@_-"/>
    </dxf>
    <dxf>
      <fill>
        <patternFill>
          <fgColor theme="7" tint="0.3999755851924192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font>
        <name val="MS Reference Sans Serif"/>
        <scheme val="none"/>
      </font>
    </dxf>
    <dxf>
      <alignment horizontal="center"/>
    </dxf>
    <dxf>
      <numFmt numFmtId="164" formatCode="_-* #,##0_-;\-* #,##0_-;_-* &quot;-&quot;??_-;_-@_-"/>
    </dxf>
    <dxf>
      <font>
        <sz val="8"/>
        <name val="MS Reference Sans Serif"/>
        <scheme val="none"/>
      </font>
      <numFmt numFmtId="165" formatCode="&quot;+&quot;#,##0;\-#,##0"/>
      <fill>
        <patternFill patternType="solid">
          <fgColor indexed="64"/>
          <bgColor theme="0"/>
        </patternFill>
      </fill>
      <alignment horizontal="center" vertical="center"/>
    </dxf>
    <dxf>
      <alignment horizontal="center"/>
    </dxf>
    <dxf>
      <alignment horizontal="center"/>
    </dxf>
    <dxf>
      <font>
        <b val="0"/>
        <i val="0"/>
        <color rgb="FF002060"/>
      </font>
    </dxf>
    <dxf>
      <font>
        <b val="0"/>
        <i val="0"/>
        <color rgb="FFFF0000"/>
      </font>
    </dxf>
    <dxf>
      <font>
        <b val="0"/>
        <i val="0"/>
        <color rgb="FF002060"/>
      </font>
    </dxf>
    <dxf>
      <font>
        <b val="0"/>
        <i val="0"/>
        <color rgb="FFFF0000"/>
      </font>
    </dxf>
    <dxf>
      <font>
        <b val="0"/>
        <i val="0"/>
        <color rgb="FF002060"/>
      </font>
    </dxf>
    <dxf>
      <font>
        <b val="0"/>
        <i val="0"/>
        <color rgb="FFFF0000"/>
      </font>
    </dxf>
    <dxf>
      <font>
        <b val="0"/>
        <i val="0"/>
        <color rgb="FF002060"/>
      </font>
    </dxf>
    <dxf>
      <font>
        <b val="0"/>
        <i val="0"/>
        <color rgb="FFFF0000"/>
      </font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16545</xdr:colOff>
      <xdr:row>0</xdr:row>
      <xdr:rowOff>16566</xdr:rowOff>
    </xdr:from>
    <xdr:to>
      <xdr:col>3</xdr:col>
      <xdr:colOff>854744</xdr:colOff>
      <xdr:row>1</xdr:row>
      <xdr:rowOff>152912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4577B444-17C7-4067-ACA1-0BFC0A93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3945" y="16566"/>
          <a:ext cx="838199" cy="326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16545</xdr:colOff>
      <xdr:row>1</xdr:row>
      <xdr:rowOff>16566</xdr:rowOff>
    </xdr:from>
    <xdr:to>
      <xdr:col>1</xdr:col>
      <xdr:colOff>854744</xdr:colOff>
      <xdr:row>2</xdr:row>
      <xdr:rowOff>152912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57C9B3B6-FF2C-4C5B-9992-78C68D65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95" y="188016"/>
          <a:ext cx="838199" cy="32684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 Café" refreshedDate="46060.491786921295" createdVersion="8" refreshedVersion="4" minRefreshableVersion="3" recordCount="9">
  <cacheSource type="worksheet">
    <worksheetSource ref="B80:E89" sheet="NECESSIDADE"/>
  </cacheSource>
  <cacheFields count="4">
    <cacheField name="MODELO" numFmtId="0">
      <sharedItems containsSemiMixedTypes="0" containsString="0" containsNumber="1" minValue="2.7" maxValue="3.2" count="4">
        <n v="2.7"/>
        <n v="2.8"/>
        <n v="3"/>
        <n v="3.2"/>
      </sharedItems>
    </cacheField>
    <cacheField name="PRODUTO" numFmtId="0">
      <sharedItems/>
    </cacheField>
    <cacheField name=" QTD BOBINAS" numFmtId="0">
      <sharedItems containsSemiMixedTypes="0" containsString="0" containsNumber="1" minValue="3.75" maxValue="80"/>
    </cacheField>
    <cacheField name="Soma de PESO TTL" numFmtId="164">
      <sharedItems containsSemiMixedTypes="0" containsString="0" containsNumber="1" minValue="787.50000000000011" maxValue="21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ra Café" refreshedDate="46060.491787268518" createdVersion="8" refreshedVersion="4" minRefreshableVersion="3" recordCount="88">
  <cacheSource type="worksheet">
    <worksheetSource ref="D3:P91" sheet="PANO"/>
  </cacheSource>
  <cacheFields count="13">
    <cacheField name="PRODUTO" numFmtId="0">
      <sharedItems count="47">
        <s v="PANO CAFÉ Z ESPECIAL 60X3,00MT PRETO"/>
        <s v="PANO CAFÉ Z ESPECIAL 70X3,00MT PRETO"/>
        <s v="PANO CAFÉ Z ESPECIAL 80X3,00MT PRETO"/>
        <s v="PANO CAFÉ Z ESECIAL 90X3,00MT PRETO"/>
        <s v="PANO CAFÉ Z ESPECIAL 70X2,80MT PRETO"/>
        <s v="PANO CAFÉ ESPECIAL 80X2,80MT PRETO"/>
        <s v="PANO CAFÉ Z ESPECIAL 75X3,30MT PRETO"/>
        <s v="PANO CAFÉ ESPECIAL 80X3,30MT PRETO"/>
        <s v="PANO CAFÉ Z ESPECIAL 80X3,20MT PRETO"/>
        <s v="PANO CAFÉ Z ESPECIAL 100X3,00MT PRETO "/>
        <s v="PANO CAFÉ Z ESPECIAL 100X3,30MT PRETO"/>
        <s v="PANO CAFÉ Z ESPECIAL 80X2,80MT PRETO"/>
        <s v="PANO CAFÉ Z ESPECIAL 80X3,60MT PRETO"/>
        <s v="PANO CAFÉ Z ESPECIAL 80X3,30MT PRETO"/>
        <s v="PANO CAFÉ Z ESPECIAL 60X2,80MT PRETO"/>
        <s v="PANO CAFÉ ESPECIAL 80X3,00MT PRETO"/>
        <s v="PANO CAFÉ ESPECIAL 80X3,60MT PRETO"/>
        <s v="PANO CAFÉ Z ESPECIAL 50X3,00MT PRETO"/>
        <s v="PANO CAFÉ Z ESPECIAL 65X3,00MT PRETO"/>
        <s v="PANO CAFÉ Z ESPECIAL 75X3,00MT PRETO"/>
        <s v="PANO CAFÉ Z ESPECIAL 75X2,80MT PRETO"/>
        <s v="PANO CAFÉ Z ESPECIAL 90X2,80MT PRETO"/>
        <s v="PANO CAFÉ Z ESPECIAL 100X2,80MT PRETO"/>
        <s v="PANO CAFÉ Z ESPECIAL 85X3,60MT PRETO"/>
        <s v="PANO CAFÉ Z ESPECIAL 06X2,80 PRETO"/>
        <s v="PANO CAFÉ Z ESPECIAL 75X3,20MT PRETO"/>
        <s v="PANO CAFÉ Z ESPECIAL 10X2,80 PRETO"/>
        <s v="PANO CAFÉ Z ESPECIAL 08X2,80 PRETO"/>
        <s v="PANO CAFÉ Z COMUM 06X2,93MT"/>
        <s v="PANO CAFÉ Z EESPECIAL 06X3,00 PRETO"/>
        <s v="PANO CAFÉ Z ESPECIAL 08X3,00 PRETO"/>
        <s v="PANO CAFÉ Z ESPECIAL 10X3,00 PRETO"/>
        <s v="PANO CAFÉ Z ESPECIAL 12X3,00 PRETO"/>
        <s v="PANO CAFÉ Z COMUM 06X2,70MT"/>
        <s v="PANO CAFÉ Z ESPECIAL 70X3,60MT PRETO"/>
        <s v="PANO CAFÉ ESPECIAL 80X3,20MT PRETO"/>
        <s v="PANO CAFÉ Z ESPECIAL 70X3,20MT PRETO"/>
        <s v="PANO CAFÉ Z ESPECIAL 70X3,30MT PRETO"/>
        <s v="PANO CAFÉ Z COMUM 06SM"/>
        <s v="PANO CAFÉ ESPECIAL 15X3,85MT"/>
        <s v="PANO CAFÉ Z COMUM 04SM"/>
        <s v="PANO CAFÉ Z COMUM 10SM"/>
        <s v="PANO CAFÉ Z COMUM 12SM"/>
        <s v="PANO CAFÉ Z COMUM 20SM"/>
        <s v="PANO CAFÉ ESPECIAL 20X3,85MT"/>
        <s v="PANO CAFÉ ESPECIAL 10X3,85MT"/>
        <s v="PANO CAFÉ Z COMUM 15SM"/>
      </sharedItems>
    </cacheField>
    <cacheField name="CLIENTE" numFmtId="0">
      <sharedItems/>
    </cacheField>
    <cacheField name="PEDIDO" numFmtId="3">
      <sharedItems containsSemiMixedTypes="0" containsString="0" containsNumber="1" containsInteger="1" minValue="20" maxValue="12000"/>
    </cacheField>
    <cacheField name="PRODUZIDO" numFmtId="3">
      <sharedItems containsSemiMixedTypes="0" containsString="0" containsNumber="1" containsInteger="1" minValue="20" maxValue="12000"/>
    </cacheField>
    <cacheField name="STATUS" numFmtId="14">
      <sharedItems/>
    </cacheField>
    <cacheField name="%" numFmtId="9">
      <sharedItems containsSemiMixedTypes="0" containsString="0" containsNumber="1" containsInteger="1" minValue="1" maxValue="1"/>
    </cacheField>
    <cacheField name="CONSUMO" numFmtId="164">
      <sharedItems containsSemiMixedTypes="0" containsString="0" containsNumber="1" containsInteger="1" minValue="600" maxValue="400000"/>
    </cacheField>
    <cacheField name="BOB. PEDIDO" numFmtId="164">
      <sharedItems containsSemiMixedTypes="0" containsString="0" containsNumber="1" minValue="0.6" maxValue="400"/>
    </cacheField>
    <cacheField name="BOB. NECESSIDADE" numFmtId="164">
      <sharedItems containsSemiMixedTypes="0" containsString="0" containsNumber="1" containsInteger="1" minValue="0" maxValue="0"/>
    </cacheField>
    <cacheField name="CONSUMO RESTANTE" numFmtId="164">
      <sharedItems containsSemiMixedTypes="0" containsString="0" containsNumber="1" containsInteger="1" minValue="0" maxValue="0"/>
    </cacheField>
    <cacheField name="MODELO" numFmtId="43">
      <sharedItems containsString="0" containsBlank="1" containsNumber="1" minValue="2.7" maxValue="3.85" count="7">
        <m/>
        <n v="2.7"/>
        <n v="3.85"/>
        <n v="3"/>
        <n v="2.8"/>
        <n v="3.2"/>
        <n v="3.6"/>
      </sharedItems>
    </cacheField>
    <cacheField name="PESO" numFmtId="164">
      <sharedItems containsSemiMixedTypes="0" containsString="0" containsNumber="1" minValue="108" maxValue="770"/>
    </cacheField>
    <cacheField name="PESO TTL" numFmtId="164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P01" refreshedDate="46097.443085648149" createdVersion="8" refreshedVersion="8" minRefreshableVersion="3" recordCount="157">
  <cacheSource type="worksheet">
    <worksheetSource ref="D3:I166" sheet="PANO"/>
  </cacheSource>
  <cacheFields count="6">
    <cacheField name="PRODUTO" numFmtId="0">
      <sharedItems/>
    </cacheField>
    <cacheField name="CLIENTE" numFmtId="0">
      <sharedItems/>
    </cacheField>
    <cacheField name="PEDIDO" numFmtId="3">
      <sharedItems containsSemiMixedTypes="0" containsString="0" containsNumber="1" containsInteger="1" minValue="10" maxValue="20000"/>
    </cacheField>
    <cacheField name="PRODUZIDO" numFmtId="3">
      <sharedItems containsString="0" containsBlank="1" containsNumber="1" containsInteger="1" minValue="20" maxValue="12000"/>
    </cacheField>
    <cacheField name="STATUS" numFmtId="14">
      <sharedItems count="4">
        <s v="EMBARCADA"/>
        <s v="FINALIZADA"/>
        <s v="EM PROCESSO"/>
        <s v="PENDENTE"/>
      </sharedItems>
    </cacheField>
    <cacheField name="%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s v="PANO CAFÉ Z COMUM 06SM"/>
    <n v="48"/>
    <n v="11664"/>
  </r>
  <r>
    <x v="1"/>
    <s v="PANO CAFÉ Z ESPECIAL 06X2,80 PRETO"/>
    <n v="80"/>
    <n v="20160"/>
  </r>
  <r>
    <x v="1"/>
    <s v="PANO CAFÉ Z ESPECIAL 70X2,80MT PRETO"/>
    <n v="7"/>
    <n v="1372.0000000000002"/>
  </r>
  <r>
    <x v="1"/>
    <s v="PANO CAFÉ Z ESPECIAL 80X2,80MT PRETO"/>
    <n v="14.4"/>
    <n v="3628.8"/>
  </r>
  <r>
    <x v="2"/>
    <s v="PANO CAFÉ Z ESECIAL 90X3,00MT PRETO"/>
    <n v="4.5"/>
    <n v="1215"/>
  </r>
  <r>
    <x v="2"/>
    <s v="PANO CAFÉ Z ESPECIAL 65X3,00MT PRETO"/>
    <n v="9.75"/>
    <n v="1901.25"/>
  </r>
  <r>
    <x v="2"/>
    <s v="PANO CAFÉ Z ESPECIAL 75X3,00MT PRETO"/>
    <n v="3.75"/>
    <n v="787.50000000000011"/>
  </r>
  <r>
    <x v="3"/>
    <s v="PANO CAFÉ Z ESPECIAL 70X3,20MT PRETO"/>
    <n v="7"/>
    <n v="2016"/>
  </r>
  <r>
    <x v="3"/>
    <s v="PANO CAFÉ Z ESPECIAL 80X3,20MT PRETO"/>
    <n v="76"/>
    <n v="218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x v="0"/>
    <s v="CACOAL RO"/>
    <n v="100"/>
    <n v="100"/>
    <s v="EMBARCADA"/>
    <n v="1"/>
    <n v="6000"/>
    <n v="6"/>
    <n v="0"/>
    <n v="0"/>
    <x v="0"/>
    <n v="270"/>
    <n v="0"/>
  </r>
  <r>
    <x v="1"/>
    <s v="CACOAL RO"/>
    <n v="400"/>
    <n v="400"/>
    <s v="EMBARCADA"/>
    <n v="1"/>
    <n v="28000"/>
    <n v="28"/>
    <n v="0"/>
    <n v="0"/>
    <x v="0"/>
    <n v="270"/>
    <n v="0"/>
  </r>
  <r>
    <x v="2"/>
    <s v="CACOAL RO"/>
    <n v="400"/>
    <n v="400"/>
    <s v="EMBARCADA"/>
    <n v="1"/>
    <n v="32000"/>
    <n v="32"/>
    <n v="0"/>
    <n v="0"/>
    <x v="0"/>
    <n v="270"/>
    <n v="0"/>
  </r>
  <r>
    <x v="3"/>
    <s v="CACOAL RO"/>
    <n v="100"/>
    <n v="100"/>
    <s v="EMBARCADA"/>
    <n v="1"/>
    <n v="9000"/>
    <n v="9"/>
    <n v="0"/>
    <n v="0"/>
    <x v="0"/>
    <n v="288"/>
    <n v="0"/>
  </r>
  <r>
    <x v="4"/>
    <s v="CACOAL RO"/>
    <n v="100"/>
    <n v="100"/>
    <s v="EMBARCADA"/>
    <n v="1"/>
    <n v="7000"/>
    <n v="7"/>
    <n v="0"/>
    <n v="0"/>
    <x v="0"/>
    <n v="252"/>
    <n v="0"/>
  </r>
  <r>
    <x v="5"/>
    <s v="CACOAL RO"/>
    <n v="100"/>
    <n v="100"/>
    <s v="EMBARCADA"/>
    <n v="1"/>
    <n v="8000"/>
    <n v="8"/>
    <n v="0"/>
    <n v="0"/>
    <x v="0"/>
    <n v="252"/>
    <n v="0"/>
  </r>
  <r>
    <x v="6"/>
    <s v="MANHAÇU"/>
    <n v="900"/>
    <n v="900"/>
    <s v="EMBARCADA"/>
    <n v="1"/>
    <n v="67500"/>
    <n v="67.5"/>
    <n v="0"/>
    <n v="0"/>
    <x v="0"/>
    <n v="297"/>
    <n v="0"/>
  </r>
  <r>
    <x v="7"/>
    <s v="OP.GENÉRICA"/>
    <n v="1000"/>
    <n v="1000"/>
    <s v="EMBARCADA"/>
    <n v="1"/>
    <n v="80000"/>
    <n v="80"/>
    <n v="0"/>
    <n v="0"/>
    <x v="0"/>
    <n v="297"/>
    <n v="0"/>
  </r>
  <r>
    <x v="2"/>
    <s v="GRUPO PIANNA"/>
    <n v="4000"/>
    <n v="4000"/>
    <s v="EMBARCADA"/>
    <n v="1"/>
    <n v="320000"/>
    <n v="320"/>
    <n v="0"/>
    <n v="0"/>
    <x v="0"/>
    <n v="270"/>
    <n v="0"/>
  </r>
  <r>
    <x v="8"/>
    <s v="GRUPO PIANNA"/>
    <n v="5000"/>
    <n v="5000"/>
    <s v="EMBARCADA"/>
    <n v="1"/>
    <n v="400000"/>
    <n v="400"/>
    <n v="0"/>
    <n v="0"/>
    <x v="0"/>
    <n v="288"/>
    <n v="0"/>
  </r>
  <r>
    <x v="9"/>
    <s v="GRUPO PIANNA"/>
    <n v="20"/>
    <n v="20"/>
    <s v="EMBARCADA"/>
    <n v="1"/>
    <n v="2000"/>
    <n v="2"/>
    <n v="0"/>
    <n v="0"/>
    <x v="0"/>
    <n v="270"/>
    <n v="0"/>
  </r>
  <r>
    <x v="10"/>
    <s v="GRUPO PIANNA"/>
    <n v="20"/>
    <n v="20"/>
    <s v="EMBARCADA"/>
    <n v="1"/>
    <n v="2000"/>
    <n v="2"/>
    <n v="0"/>
    <n v="0"/>
    <x v="0"/>
    <n v="297"/>
    <n v="0"/>
  </r>
  <r>
    <x v="11"/>
    <s v="GRUPO PIANNA"/>
    <n v="1000"/>
    <n v="1000"/>
    <s v="EMBARCADA"/>
    <n v="1"/>
    <n v="80000"/>
    <n v="80"/>
    <n v="0"/>
    <n v="0"/>
    <x v="0"/>
    <n v="252"/>
    <n v="0"/>
  </r>
  <r>
    <x v="12"/>
    <s v="GRUPO PIANNA"/>
    <n v="1000"/>
    <n v="1000"/>
    <s v="EMBARCADA"/>
    <n v="1"/>
    <n v="80000"/>
    <n v="80"/>
    <n v="0"/>
    <n v="0"/>
    <x v="0"/>
    <n v="324"/>
    <n v="0"/>
  </r>
  <r>
    <x v="12"/>
    <s v="GRUPO PIANNA"/>
    <n v="1000"/>
    <n v="1000"/>
    <s v="EMBARCADA"/>
    <n v="1"/>
    <n v="80000"/>
    <n v="80"/>
    <n v="0"/>
    <n v="0"/>
    <x v="0"/>
    <n v="324"/>
    <n v="0"/>
  </r>
  <r>
    <x v="13"/>
    <s v="GRUPO PIANNA"/>
    <n v="1000"/>
    <n v="1000"/>
    <s v="EMBARCADA"/>
    <n v="1"/>
    <n v="80000"/>
    <n v="80"/>
    <n v="0"/>
    <n v="0"/>
    <x v="0"/>
    <n v="297"/>
    <n v="0"/>
  </r>
  <r>
    <x v="8"/>
    <s v="GRUPO PIANNA"/>
    <n v="1000"/>
    <n v="1000"/>
    <s v="EMBARCADA"/>
    <n v="1"/>
    <n v="80000"/>
    <n v="80"/>
    <n v="0"/>
    <n v="0"/>
    <x v="0"/>
    <n v="288"/>
    <n v="0"/>
  </r>
  <r>
    <x v="8"/>
    <s v="GRUPO PIANNA"/>
    <n v="1000"/>
    <n v="1000"/>
    <s v="EMBARCADA"/>
    <n v="1"/>
    <n v="80000"/>
    <n v="80"/>
    <n v="0"/>
    <n v="0"/>
    <x v="0"/>
    <n v="288"/>
    <n v="0"/>
  </r>
  <r>
    <x v="4"/>
    <s v="LAUHUMAN"/>
    <n v="400"/>
    <n v="400"/>
    <s v="EMBARCADA"/>
    <n v="1"/>
    <n v="28000"/>
    <n v="28"/>
    <n v="0"/>
    <n v="0"/>
    <x v="0"/>
    <n v="252"/>
    <n v="0"/>
  </r>
  <r>
    <x v="14"/>
    <s v="LAUHUMAN"/>
    <n v="300"/>
    <n v="300"/>
    <s v="EMBARCADA"/>
    <n v="1"/>
    <n v="18000"/>
    <n v="18"/>
    <n v="0"/>
    <n v="0"/>
    <x v="0"/>
    <n v="252"/>
    <n v="0"/>
  </r>
  <r>
    <x v="5"/>
    <s v="AGRO PAVÃO - ES"/>
    <n v="750"/>
    <n v="750"/>
    <s v="EMBARCADA"/>
    <n v="1"/>
    <n v="60000"/>
    <n v="60"/>
    <n v="0"/>
    <n v="0"/>
    <x v="0"/>
    <n v="252"/>
    <n v="0"/>
  </r>
  <r>
    <x v="5"/>
    <s v="AGRO PAVÃO - ES"/>
    <n v="350"/>
    <n v="350"/>
    <s v="EMBARCADA"/>
    <n v="1"/>
    <n v="28000"/>
    <n v="28"/>
    <n v="0"/>
    <n v="0"/>
    <x v="0"/>
    <n v="252"/>
    <n v="0"/>
  </r>
  <r>
    <x v="1"/>
    <s v="AGRO PAVÃO - ES"/>
    <n v="350"/>
    <n v="350"/>
    <s v="EMBARCADA"/>
    <n v="1"/>
    <n v="24500"/>
    <n v="24.5"/>
    <n v="0"/>
    <n v="0"/>
    <x v="0"/>
    <n v="270"/>
    <n v="0"/>
  </r>
  <r>
    <x v="1"/>
    <s v="AGRO PAVÃO - ES"/>
    <n v="750"/>
    <n v="750"/>
    <s v="EMBARCADA"/>
    <n v="1"/>
    <n v="52500"/>
    <n v="52.5"/>
    <n v="0"/>
    <n v="0"/>
    <x v="0"/>
    <n v="270"/>
    <n v="0"/>
  </r>
  <r>
    <x v="5"/>
    <s v="ADELMO "/>
    <n v="750"/>
    <n v="750"/>
    <s v="EMBARCADA"/>
    <n v="1"/>
    <n v="60000"/>
    <n v="60"/>
    <n v="0"/>
    <n v="0"/>
    <x v="0"/>
    <n v="252"/>
    <n v="0"/>
  </r>
  <r>
    <x v="15"/>
    <s v="ADELMO "/>
    <n v="1000"/>
    <n v="1000"/>
    <s v="EMBARCADA"/>
    <n v="1"/>
    <n v="80000"/>
    <n v="80"/>
    <n v="0"/>
    <n v="0"/>
    <x v="0"/>
    <n v="270"/>
    <n v="0"/>
  </r>
  <r>
    <x v="16"/>
    <s v="ADELMO "/>
    <n v="250"/>
    <n v="250"/>
    <s v="EMBARCADA"/>
    <n v="1"/>
    <n v="20000"/>
    <n v="20"/>
    <n v="0"/>
    <n v="0"/>
    <x v="0"/>
    <n v="324"/>
    <n v="0"/>
  </r>
  <r>
    <x v="1"/>
    <s v="ADELMO "/>
    <n v="600"/>
    <n v="600"/>
    <s v="EMBARCADA"/>
    <n v="1"/>
    <n v="42000"/>
    <n v="42"/>
    <n v="0"/>
    <n v="0"/>
    <x v="0"/>
    <n v="270"/>
    <n v="0"/>
  </r>
  <r>
    <x v="4"/>
    <s v="ADELMO "/>
    <n v="900"/>
    <n v="900"/>
    <s v="EMBARCADA"/>
    <n v="1"/>
    <n v="63000"/>
    <n v="63"/>
    <n v="0"/>
    <n v="0"/>
    <x v="0"/>
    <n v="252"/>
    <n v="0"/>
  </r>
  <r>
    <x v="17"/>
    <s v="ADELMO "/>
    <n v="120"/>
    <n v="120"/>
    <s v="EMBARCADA"/>
    <n v="1"/>
    <n v="6000"/>
    <n v="6"/>
    <n v="0"/>
    <n v="0"/>
    <x v="0"/>
    <n v="270"/>
    <n v="0"/>
  </r>
  <r>
    <x v="18"/>
    <s v="ADELMO "/>
    <n v="200"/>
    <n v="200"/>
    <s v="EMBARCADA"/>
    <n v="1"/>
    <n v="13000"/>
    <n v="13"/>
    <n v="0"/>
    <n v="0"/>
    <x v="0"/>
    <n v="270"/>
    <n v="0"/>
  </r>
  <r>
    <x v="0"/>
    <s v="ADELMO "/>
    <n v="200"/>
    <n v="200"/>
    <s v="EMBARCADA"/>
    <n v="1"/>
    <n v="12000"/>
    <n v="12"/>
    <n v="0"/>
    <n v="0"/>
    <x v="0"/>
    <n v="270"/>
    <n v="0"/>
  </r>
  <r>
    <x v="19"/>
    <s v="ADELMO "/>
    <n v="200"/>
    <n v="200"/>
    <s v="EMBARCADA"/>
    <n v="1"/>
    <n v="15000"/>
    <n v="15"/>
    <n v="0"/>
    <n v="0"/>
    <x v="0"/>
    <n v="270"/>
    <n v="0"/>
  </r>
  <r>
    <x v="3"/>
    <s v="ADELMO "/>
    <n v="120"/>
    <n v="120"/>
    <s v="EMBARCADA"/>
    <n v="1"/>
    <n v="10800"/>
    <n v="10.8"/>
    <n v="0"/>
    <n v="0"/>
    <x v="0"/>
    <n v="270"/>
    <n v="0"/>
  </r>
  <r>
    <x v="9"/>
    <s v="ADELMO "/>
    <n v="120"/>
    <n v="120"/>
    <s v="EMBARCADA"/>
    <n v="1"/>
    <n v="12000"/>
    <n v="12"/>
    <n v="0"/>
    <n v="0"/>
    <x v="0"/>
    <n v="270"/>
    <n v="0"/>
  </r>
  <r>
    <x v="20"/>
    <s v="ADELMO "/>
    <n v="200"/>
    <n v="200"/>
    <s v="EMBARCADA"/>
    <n v="1"/>
    <n v="15000"/>
    <n v="15"/>
    <n v="0"/>
    <n v="0"/>
    <x v="0"/>
    <n v="252"/>
    <n v="0"/>
  </r>
  <r>
    <x v="21"/>
    <s v="ADELMO "/>
    <n v="120"/>
    <n v="120"/>
    <s v="EMBARCADA"/>
    <n v="1"/>
    <n v="10800"/>
    <n v="10.8"/>
    <n v="0"/>
    <n v="0"/>
    <x v="0"/>
    <n v="252"/>
    <n v="0"/>
  </r>
  <r>
    <x v="22"/>
    <s v="ADELMO "/>
    <n v="120"/>
    <n v="120"/>
    <s v="EMBARCADA"/>
    <n v="1"/>
    <n v="12000"/>
    <n v="12"/>
    <n v="0"/>
    <n v="0"/>
    <x v="0"/>
    <n v="280"/>
    <n v="0"/>
  </r>
  <r>
    <x v="23"/>
    <s v="ADELMO "/>
    <n v="200"/>
    <n v="200"/>
    <s v="EMBARCADA"/>
    <n v="1"/>
    <n v="17000"/>
    <n v="17"/>
    <n v="0"/>
    <n v="0"/>
    <x v="0"/>
    <n v="306"/>
    <n v="0"/>
  </r>
  <r>
    <x v="24"/>
    <s v="ADELMO "/>
    <n v="2500"/>
    <n v="2500"/>
    <s v="EMBARCADA"/>
    <n v="1"/>
    <n v="15000"/>
    <n v="15"/>
    <n v="0"/>
    <n v="0"/>
    <x v="0"/>
    <n v="168"/>
    <n v="0"/>
  </r>
  <r>
    <x v="19"/>
    <s v="SINEAR -ES"/>
    <n v="600"/>
    <n v="600"/>
    <s v="EMBARCADA"/>
    <n v="1"/>
    <n v="45000"/>
    <n v="45"/>
    <n v="0"/>
    <n v="0"/>
    <x v="0"/>
    <n v="225"/>
    <n v="0"/>
  </r>
  <r>
    <x v="19"/>
    <s v="SINEAR -ES"/>
    <n v="100"/>
    <n v="100"/>
    <s v="EMBARCADA"/>
    <n v="1"/>
    <n v="7500"/>
    <n v="7.5"/>
    <n v="0"/>
    <n v="0"/>
    <x v="0"/>
    <n v="225"/>
    <n v="0"/>
  </r>
  <r>
    <x v="15"/>
    <s v="SINEAR -ES"/>
    <n v="250"/>
    <n v="250"/>
    <s v="EMBARCADA"/>
    <n v="1"/>
    <n v="20000"/>
    <n v="20"/>
    <n v="0"/>
    <n v="0"/>
    <x v="0"/>
    <n v="270"/>
    <n v="0"/>
  </r>
  <r>
    <x v="25"/>
    <s v="SINEAR -ES"/>
    <n v="250"/>
    <n v="250"/>
    <s v="EMBARCADA"/>
    <n v="1"/>
    <n v="18750"/>
    <n v="18.75"/>
    <n v="0"/>
    <n v="0"/>
    <x v="0"/>
    <n v="240"/>
    <n v="0"/>
  </r>
  <r>
    <x v="5"/>
    <s v="LAUHUMAN"/>
    <n v="200"/>
    <n v="200"/>
    <s v="EMBARCADA"/>
    <n v="1"/>
    <n v="16000"/>
    <n v="16"/>
    <n v="0"/>
    <n v="0"/>
    <x v="0"/>
    <n v="224"/>
    <n v="0"/>
  </r>
  <r>
    <x v="22"/>
    <s v="LAUHUMAN"/>
    <n v="300"/>
    <n v="300"/>
    <s v="EMBARCADA"/>
    <n v="1"/>
    <n v="30000"/>
    <n v="30"/>
    <n v="0"/>
    <n v="0"/>
    <x v="0"/>
    <n v="280"/>
    <n v="0"/>
  </r>
  <r>
    <x v="26"/>
    <s v="ADELMO "/>
    <n v="300"/>
    <n v="300"/>
    <s v="EMBARCADA"/>
    <n v="1"/>
    <n v="3000"/>
    <n v="3"/>
    <n v="0"/>
    <n v="0"/>
    <x v="0"/>
    <n v="280"/>
    <n v="0"/>
  </r>
  <r>
    <x v="27"/>
    <s v="ADELMO "/>
    <n v="700"/>
    <n v="700"/>
    <s v="EMBARCADA"/>
    <n v="1"/>
    <n v="5600"/>
    <n v="5.6"/>
    <n v="0"/>
    <n v="0"/>
    <x v="0"/>
    <n v="224"/>
    <n v="0"/>
  </r>
  <r>
    <x v="28"/>
    <s v="ADELMO "/>
    <n v="2500"/>
    <n v="2500"/>
    <s v="EMBARCADA"/>
    <n v="1"/>
    <n v="15000"/>
    <n v="15"/>
    <n v="0"/>
    <n v="0"/>
    <x v="0"/>
    <n v="190.45000000000002"/>
    <n v="0"/>
  </r>
  <r>
    <x v="15"/>
    <s v="ARLINDO SCHUTZZ"/>
    <n v="200"/>
    <n v="200"/>
    <s v="EMBARCADA"/>
    <n v="1"/>
    <n v="16000"/>
    <n v="16"/>
    <n v="0"/>
    <n v="0"/>
    <x v="0"/>
    <n v="240"/>
    <n v="0"/>
  </r>
  <r>
    <x v="1"/>
    <s v="ARLINDO SCHUTZZ"/>
    <n v="300"/>
    <n v="300"/>
    <s v="EMBARCADA"/>
    <n v="1"/>
    <n v="21000"/>
    <n v="21"/>
    <n v="0"/>
    <n v="0"/>
    <x v="0"/>
    <n v="210.00000000000003"/>
    <n v="0"/>
  </r>
  <r>
    <x v="29"/>
    <s v="ARLINDO SCHUTZZ"/>
    <n v="100"/>
    <n v="100"/>
    <s v="EMBARCADA"/>
    <n v="1"/>
    <n v="600"/>
    <n v="0.6"/>
    <n v="0"/>
    <n v="0"/>
    <x v="0"/>
    <n v="180"/>
    <n v="0"/>
  </r>
  <r>
    <x v="30"/>
    <s v="ARLINDO SCHUTZZ"/>
    <n v="100"/>
    <n v="100"/>
    <s v="EMBARCADA"/>
    <n v="1"/>
    <n v="800"/>
    <n v="0.8"/>
    <n v="0"/>
    <n v="0"/>
    <x v="0"/>
    <n v="240"/>
    <n v="0"/>
  </r>
  <r>
    <x v="31"/>
    <s v="ARLINDO SCHUTZZ"/>
    <n v="100"/>
    <n v="100"/>
    <s v="EMBARCADA"/>
    <n v="1"/>
    <n v="1000"/>
    <n v="1"/>
    <n v="0"/>
    <n v="0"/>
    <x v="0"/>
    <n v="300"/>
    <n v="0"/>
  </r>
  <r>
    <x v="32"/>
    <s v="ARLINDO SCHUTZZ"/>
    <n v="100"/>
    <n v="100"/>
    <s v="EMBARCADA"/>
    <n v="1"/>
    <n v="1200"/>
    <n v="1.2"/>
    <n v="0"/>
    <n v="0"/>
    <x v="0"/>
    <n v="270"/>
    <n v="0"/>
  </r>
  <r>
    <x v="4"/>
    <s v="ARLINDO SCHUTZZ"/>
    <n v="200"/>
    <n v="200"/>
    <s v="EMBARCADA"/>
    <n v="1"/>
    <n v="14000"/>
    <n v="14"/>
    <n v="0"/>
    <n v="0"/>
    <x v="0"/>
    <n v="252"/>
    <n v="0"/>
  </r>
  <r>
    <x v="33"/>
    <s v="GRUPO FAE"/>
    <n v="8000"/>
    <n v="8000"/>
    <s v="EMBARCADA"/>
    <n v="1"/>
    <n v="48000"/>
    <n v="48"/>
    <n v="0"/>
    <n v="0"/>
    <x v="0"/>
    <n v="175.5"/>
    <n v="0"/>
  </r>
  <r>
    <x v="33"/>
    <s v="ADELMO "/>
    <n v="1000"/>
    <n v="1000"/>
    <s v="EMBARCADA"/>
    <n v="1"/>
    <n v="6000"/>
    <n v="6"/>
    <n v="0"/>
    <n v="0"/>
    <x v="0"/>
    <n v="175.5"/>
    <n v="0"/>
  </r>
  <r>
    <x v="7"/>
    <s v="ADELMO "/>
    <n v="400"/>
    <n v="400"/>
    <s v="EMBARCADA"/>
    <n v="1"/>
    <n v="32000"/>
    <n v="32"/>
    <n v="0"/>
    <n v="0"/>
    <x v="0"/>
    <n v="264"/>
    <n v="0"/>
  </r>
  <r>
    <x v="34"/>
    <s v="ADELMO "/>
    <n v="350"/>
    <n v="350"/>
    <s v="EMBARCADA"/>
    <n v="1"/>
    <n v="24500"/>
    <n v="24.5"/>
    <n v="0"/>
    <n v="0"/>
    <x v="0"/>
    <n v="252.00000000000003"/>
    <n v="0"/>
  </r>
  <r>
    <x v="35"/>
    <s v="ADELMO "/>
    <n v="600"/>
    <n v="600"/>
    <s v="EMBARCADA"/>
    <n v="1"/>
    <n v="48000"/>
    <n v="48"/>
    <n v="0"/>
    <n v="0"/>
    <x v="0"/>
    <n v="256"/>
    <n v="0"/>
  </r>
  <r>
    <x v="36"/>
    <s v="ADELMO "/>
    <n v="700"/>
    <n v="700"/>
    <s v="EMBARCADA"/>
    <n v="1"/>
    <n v="49000"/>
    <n v="49"/>
    <n v="0"/>
    <n v="0"/>
    <x v="0"/>
    <n v="224.00000000000003"/>
    <n v="0"/>
  </r>
  <r>
    <x v="37"/>
    <s v="ADELMO "/>
    <n v="500"/>
    <n v="500"/>
    <s v="EMBARCADA"/>
    <n v="1"/>
    <n v="35000"/>
    <n v="35"/>
    <n v="0"/>
    <n v="0"/>
    <x v="0"/>
    <n v="231.00000000000003"/>
    <n v="0"/>
  </r>
  <r>
    <x v="38"/>
    <s v="COCATREL"/>
    <n v="2000"/>
    <n v="2000"/>
    <s v="EMBARCADA"/>
    <n v="1"/>
    <n v="12000"/>
    <n v="12"/>
    <n v="0"/>
    <n v="0"/>
    <x v="0"/>
    <n v="243"/>
    <m/>
  </r>
  <r>
    <x v="39"/>
    <s v="COCATREL"/>
    <n v="1000"/>
    <n v="1000"/>
    <s v="EMBARCADA"/>
    <n v="1"/>
    <n v="15000"/>
    <n v="15"/>
    <n v="0"/>
    <n v="0"/>
    <x v="0"/>
    <n v="577.5"/>
    <n v="0"/>
  </r>
  <r>
    <x v="40"/>
    <s v="COCATREL"/>
    <n v="1000"/>
    <n v="1000"/>
    <s v="EMBARCADA"/>
    <n v="1"/>
    <n v="4000"/>
    <n v="4"/>
    <n v="0"/>
    <n v="0"/>
    <x v="0"/>
    <n v="108"/>
    <n v="0"/>
  </r>
  <r>
    <x v="41"/>
    <s v="COCATREL"/>
    <n v="5000"/>
    <n v="5000"/>
    <s v="EMBARCADA"/>
    <n v="1"/>
    <n v="50000"/>
    <n v="50"/>
    <n v="0"/>
    <n v="0"/>
    <x v="0"/>
    <n v="270"/>
    <n v="0"/>
  </r>
  <r>
    <x v="42"/>
    <s v="COCATREL"/>
    <n v="2000"/>
    <n v="2000"/>
    <s v="EMBARCADA"/>
    <n v="1"/>
    <n v="24000"/>
    <n v="24"/>
    <n v="0"/>
    <n v="0"/>
    <x v="1"/>
    <n v="324"/>
    <n v="0"/>
  </r>
  <r>
    <x v="43"/>
    <s v="COCATREL"/>
    <n v="3000"/>
    <n v="3000"/>
    <s v="EMBARCADA"/>
    <n v="1"/>
    <n v="60000"/>
    <n v="60"/>
    <n v="0"/>
    <n v="0"/>
    <x v="1"/>
    <n v="540"/>
    <n v="0"/>
  </r>
  <r>
    <x v="44"/>
    <s v="COCATREL"/>
    <n v="1000"/>
    <n v="1000"/>
    <s v="EMBARCADA"/>
    <n v="1"/>
    <n v="20000"/>
    <n v="20"/>
    <n v="0"/>
    <n v="0"/>
    <x v="2"/>
    <n v="770"/>
    <n v="0"/>
  </r>
  <r>
    <x v="45"/>
    <s v="COCATREL"/>
    <n v="2000"/>
    <n v="2000"/>
    <s v="EMBARCADA"/>
    <n v="1"/>
    <n v="20000"/>
    <n v="20"/>
    <n v="0"/>
    <n v="0"/>
    <x v="2"/>
    <n v="270"/>
    <n v="0"/>
  </r>
  <r>
    <x v="46"/>
    <s v="COCATREL"/>
    <n v="3000"/>
    <n v="3000"/>
    <s v="EMBARCADA"/>
    <n v="1"/>
    <n v="45000"/>
    <n v="45"/>
    <n v="0"/>
    <n v="0"/>
    <x v="1"/>
    <n v="405"/>
    <n v="0"/>
  </r>
  <r>
    <x v="15"/>
    <s v="PERIATO E LOCATELLI"/>
    <n v="200"/>
    <n v="200"/>
    <s v="EMBARCADA"/>
    <n v="1"/>
    <n v="16000"/>
    <n v="16"/>
    <n v="0"/>
    <n v="0"/>
    <x v="3"/>
    <n v="270"/>
    <n v="0"/>
  </r>
  <r>
    <x v="1"/>
    <s v="PERIATO E LOCATELLI"/>
    <n v="200"/>
    <n v="200"/>
    <s v="EMBARCADA"/>
    <n v="1"/>
    <n v="14000"/>
    <n v="14"/>
    <n v="0"/>
    <n v="0"/>
    <x v="3"/>
    <n v="270"/>
    <n v="0"/>
  </r>
  <r>
    <x v="24"/>
    <s v="PERIATO E LOCATELLI"/>
    <n v="400"/>
    <n v="400"/>
    <s v="EMBARCADA"/>
    <n v="1"/>
    <n v="2400"/>
    <n v="2.4"/>
    <n v="0"/>
    <n v="0"/>
    <x v="4"/>
    <n v="168"/>
    <n v="0"/>
  </r>
  <r>
    <x v="35"/>
    <s v="PERIATO E LOCATELLI"/>
    <n v="100"/>
    <n v="100"/>
    <s v="EMBARCADA"/>
    <n v="1"/>
    <n v="8000"/>
    <n v="8"/>
    <n v="0"/>
    <n v="0"/>
    <x v="5"/>
    <n v="288"/>
    <n v="0"/>
  </r>
  <r>
    <x v="36"/>
    <s v="PERIATO E LOCATELLI"/>
    <n v="100"/>
    <n v="100"/>
    <s v="EMBARCADA"/>
    <n v="1"/>
    <n v="7000"/>
    <n v="7"/>
    <n v="0"/>
    <n v="0"/>
    <x v="5"/>
    <n v="288"/>
    <n v="0"/>
  </r>
  <r>
    <x v="38"/>
    <s v="PERIATO E LOCATELLI"/>
    <n v="2000"/>
    <n v="2000"/>
    <s v="EMBARCADA"/>
    <n v="1"/>
    <n v="12000"/>
    <n v="12"/>
    <n v="0"/>
    <n v="0"/>
    <x v="1"/>
    <n v="162"/>
    <n v="0"/>
  </r>
  <r>
    <x v="11"/>
    <s v="VA RAGNINI FILHO"/>
    <n v="100"/>
    <n v="100"/>
    <s v="FINALIZADA"/>
    <n v="1"/>
    <n v="8000"/>
    <n v="8"/>
    <n v="0"/>
    <n v="0"/>
    <x v="4"/>
    <n v="252"/>
    <n v="0"/>
  </r>
  <r>
    <x v="4"/>
    <s v="VA RAGNINI FILHO"/>
    <n v="100"/>
    <n v="100"/>
    <s v="FINALIZADA"/>
    <n v="1"/>
    <n v="7000"/>
    <n v="7"/>
    <n v="0"/>
    <n v="0"/>
    <x v="4"/>
    <n v="196.00000000000003"/>
    <n v="0"/>
  </r>
  <r>
    <x v="19"/>
    <s v="VA RAGNINI FILHO"/>
    <n v="50"/>
    <n v="50"/>
    <s v="FINALIZADA"/>
    <n v="1"/>
    <n v="3750"/>
    <n v="3.75"/>
    <n v="0"/>
    <n v="0"/>
    <x v="3"/>
    <n v="210.00000000000003"/>
    <n v="0"/>
  </r>
  <r>
    <x v="3"/>
    <s v="VA RAGNINI FILHO"/>
    <n v="50"/>
    <n v="50"/>
    <s v="FINALIZADA"/>
    <n v="1"/>
    <n v="4500"/>
    <n v="4.5"/>
    <n v="0"/>
    <n v="0"/>
    <x v="3"/>
    <n v="270"/>
    <n v="0"/>
  </r>
  <r>
    <x v="18"/>
    <s v="VA RAGNINI FILHO"/>
    <n v="150"/>
    <n v="150"/>
    <s v="FINALIZADA"/>
    <n v="1"/>
    <n v="9750"/>
    <n v="9.75"/>
    <n v="0"/>
    <n v="0"/>
    <x v="3"/>
    <n v="195"/>
    <n v="0"/>
  </r>
  <r>
    <x v="11"/>
    <s v="SANTA JÚLIA"/>
    <n v="200"/>
    <n v="200"/>
    <s v="FINALIZADA"/>
    <n v="1"/>
    <n v="16000"/>
    <n v="16"/>
    <n v="0"/>
    <n v="0"/>
    <x v="4"/>
    <n v="252"/>
    <n v="0"/>
  </r>
  <r>
    <x v="12"/>
    <s v="SANTA JÚLIA"/>
    <n v="800"/>
    <n v="800"/>
    <s v="FINALIZADA"/>
    <n v="1"/>
    <n v="64000"/>
    <n v="64"/>
    <n v="0"/>
    <n v="0"/>
    <x v="6"/>
    <n v="324"/>
    <n v="0"/>
  </r>
  <r>
    <x v="24"/>
    <s v="SANTA JÚLIA"/>
    <n v="1000"/>
    <n v="1000"/>
    <s v="FINALIZADA"/>
    <n v="1"/>
    <n v="6000"/>
    <n v="6"/>
    <n v="0"/>
    <n v="0"/>
    <x v="4"/>
    <n v="252"/>
    <n v="0"/>
  </r>
  <r>
    <x v="8"/>
    <s v="SANTA JÚLIA"/>
    <n v="1000"/>
    <n v="1000"/>
    <s v="FINALIZADA"/>
    <n v="1"/>
    <n v="80000"/>
    <n v="80"/>
    <n v="0"/>
    <n v="0"/>
    <x v="5"/>
    <n v="288"/>
    <n v="0"/>
  </r>
  <r>
    <x v="38"/>
    <s v="SANTA JÚLIA"/>
    <n v="12000"/>
    <n v="12000"/>
    <s v="FINALIZADA"/>
    <n v="1"/>
    <n v="72000"/>
    <n v="72"/>
    <n v="0"/>
    <n v="0"/>
    <x v="1"/>
    <n v="24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PANO CAFÉ Z ESPECIAL 60X3,00MT PRETO"/>
    <s v="CACOAL RO"/>
    <n v="100"/>
    <n v="100"/>
    <x v="0"/>
    <n v="1"/>
  </r>
  <r>
    <s v="PANO CAFÉ Z ESPECIAL 70X3,00MT PRETO"/>
    <s v="CACOAL RO"/>
    <n v="400"/>
    <n v="400"/>
    <x v="0"/>
    <n v="1"/>
  </r>
  <r>
    <s v="PANO CAFÉ Z ESPECIAL 80X3,00MT PRETO"/>
    <s v="CACOAL RO"/>
    <n v="400"/>
    <n v="400"/>
    <x v="0"/>
    <n v="1"/>
  </r>
  <r>
    <s v="PANO CAFÉ Z ESECIAL 90X3,00MT PRETO"/>
    <s v="CACOAL RO"/>
    <n v="100"/>
    <n v="100"/>
    <x v="0"/>
    <n v="1"/>
  </r>
  <r>
    <s v="PANO CAFÉ Z ESPECIAL 70X2,80MT PRETO"/>
    <s v="CACOAL RO"/>
    <n v="100"/>
    <n v="100"/>
    <x v="0"/>
    <n v="1"/>
  </r>
  <r>
    <s v="PANO CAFÉ ESPECIAL 80X2,80MT PRETO"/>
    <s v="CACOAL RO"/>
    <n v="100"/>
    <n v="100"/>
    <x v="0"/>
    <n v="1"/>
  </r>
  <r>
    <s v="PANO CAFÉ Z ESPECIAL 75X3,30MT PRETO"/>
    <s v="MANHAÇU"/>
    <n v="900"/>
    <n v="900"/>
    <x v="0"/>
    <n v="1"/>
  </r>
  <r>
    <s v="PANO CAFÉ ESPECIAL 80X3,30MT PRETO"/>
    <s v="OP.GENÉRICA"/>
    <n v="1000"/>
    <n v="1000"/>
    <x v="0"/>
    <n v="1"/>
  </r>
  <r>
    <s v="PANO CAFÉ Z ESPECIAL 80X3,00MT PRETO"/>
    <s v="GRUPO PIANNA"/>
    <n v="4000"/>
    <n v="4000"/>
    <x v="0"/>
    <n v="1"/>
  </r>
  <r>
    <s v="PANO CAFÉ Z ESPECIAL 80X3,20MT PRETO"/>
    <s v="GRUPO PIANNA"/>
    <n v="5000"/>
    <n v="5000"/>
    <x v="0"/>
    <n v="1"/>
  </r>
  <r>
    <s v="PANO CAFÉ Z ESPECIAL 100X3,00MT PRETO "/>
    <s v="GRUPO PIANNA"/>
    <n v="20"/>
    <n v="20"/>
    <x v="0"/>
    <n v="1"/>
  </r>
  <r>
    <s v="PANO CAFÉ Z ESPECIAL 100X3,30MT PRETO"/>
    <s v="GRUPO PIANNA"/>
    <n v="20"/>
    <n v="20"/>
    <x v="0"/>
    <n v="1"/>
  </r>
  <r>
    <s v="PANO CAFÉ Z ESPECIAL 80X2,80MT PRETO"/>
    <s v="GRUPO PIANNA"/>
    <n v="1000"/>
    <n v="1000"/>
    <x v="0"/>
    <n v="1"/>
  </r>
  <r>
    <s v="PANO CAFÉ Z ESPECIAL 80X3,60MT PRETO"/>
    <s v="GRUPO PIANNA"/>
    <n v="1000"/>
    <n v="1000"/>
    <x v="0"/>
    <n v="1"/>
  </r>
  <r>
    <s v="PANO CAFÉ Z ESPECIAL 80X3,60MT PRETO"/>
    <s v="GRUPO PIANNA"/>
    <n v="1000"/>
    <n v="1000"/>
    <x v="0"/>
    <n v="1"/>
  </r>
  <r>
    <s v="PANO CAFÉ Z ESPECIAL 80X3,30MT PRETO"/>
    <s v="GRUPO PIANNA"/>
    <n v="1000"/>
    <n v="1000"/>
    <x v="0"/>
    <n v="1"/>
  </r>
  <r>
    <s v="PANO CAFÉ Z ESPECIAL 80X3,20MT PRETO"/>
    <s v="GRUPO PIANNA"/>
    <n v="1000"/>
    <n v="1000"/>
    <x v="0"/>
    <n v="1"/>
  </r>
  <r>
    <s v="PANO CAFÉ Z ESPECIAL 80X3,20MT PRETO"/>
    <s v="GRUPO PIANNA"/>
    <n v="1000"/>
    <n v="1000"/>
    <x v="0"/>
    <n v="1"/>
  </r>
  <r>
    <s v="PANO CAFÉ Z ESPECIAL 70X2,80MT PRETO"/>
    <s v="LAUHUMAN"/>
    <n v="400"/>
    <n v="400"/>
    <x v="0"/>
    <n v="1"/>
  </r>
  <r>
    <s v="PANO CAFÉ Z ESPECIAL 60X2,80MT PRETO"/>
    <s v="LAUHUMAN"/>
    <n v="300"/>
    <n v="300"/>
    <x v="0"/>
    <n v="1"/>
  </r>
  <r>
    <s v="PANO CAFÉ ESPECIAL 80X2,80MT PRETO"/>
    <s v="AGRO PAVÃO - ES"/>
    <n v="750"/>
    <n v="750"/>
    <x v="0"/>
    <n v="1"/>
  </r>
  <r>
    <s v="PANO CAFÉ ESPECIAL 80X2,80MT PRETO"/>
    <s v="AGRO PAVÃO - ES"/>
    <n v="350"/>
    <n v="350"/>
    <x v="0"/>
    <n v="1"/>
  </r>
  <r>
    <s v="PANO CAFÉ Z ESPECIAL 70X3,00MT PRETO"/>
    <s v="AGRO PAVÃO - ES"/>
    <n v="350"/>
    <n v="350"/>
    <x v="0"/>
    <n v="1"/>
  </r>
  <r>
    <s v="PANO CAFÉ Z ESPECIAL 70X3,00MT PRETO"/>
    <s v="AGRO PAVÃO - ES"/>
    <n v="750"/>
    <n v="750"/>
    <x v="0"/>
    <n v="1"/>
  </r>
  <r>
    <s v="PANO CAFÉ ESPECIAL 80X2,80MT PRETO"/>
    <s v="ADELMO "/>
    <n v="750"/>
    <n v="750"/>
    <x v="0"/>
    <n v="1"/>
  </r>
  <r>
    <s v="PANO CAFÉ ESPECIAL 80X3,00MT PRETO"/>
    <s v="ADELMO "/>
    <n v="1000"/>
    <n v="1000"/>
    <x v="0"/>
    <n v="1"/>
  </r>
  <r>
    <s v="PANO CAFÉ ESPECIAL 80X3,60MT PRETO"/>
    <s v="ADELMO "/>
    <n v="250"/>
    <n v="250"/>
    <x v="0"/>
    <n v="1"/>
  </r>
  <r>
    <s v="PANO CAFÉ Z ESPECIAL 70X3,00MT PRETO"/>
    <s v="ADELMO "/>
    <n v="600"/>
    <n v="600"/>
    <x v="0"/>
    <n v="1"/>
  </r>
  <r>
    <s v="PANO CAFÉ Z ESPECIAL 70X2,80MT PRETO"/>
    <s v="ADELMO "/>
    <n v="900"/>
    <n v="900"/>
    <x v="0"/>
    <n v="1"/>
  </r>
  <r>
    <s v="PANO CAFÉ Z ESPECIAL 50X3,00MT PRETO"/>
    <s v="ADELMO "/>
    <n v="120"/>
    <n v="120"/>
    <x v="0"/>
    <n v="1"/>
  </r>
  <r>
    <s v="PANO CAFÉ Z ESPECIAL 65X3,00MT PRETO"/>
    <s v="ADELMO "/>
    <n v="200"/>
    <n v="200"/>
    <x v="0"/>
    <n v="1"/>
  </r>
  <r>
    <s v="PANO CAFÉ Z ESPECIAL 60X3,00MT PRETO"/>
    <s v="ADELMO "/>
    <n v="200"/>
    <n v="200"/>
    <x v="0"/>
    <n v="1"/>
  </r>
  <r>
    <s v="PANO CAFÉ Z ESPECIAL 75X3,00MT PRETO"/>
    <s v="ADELMO "/>
    <n v="200"/>
    <n v="200"/>
    <x v="0"/>
    <n v="1"/>
  </r>
  <r>
    <s v="PANO CAFÉ Z ESECIAL 90X3,00MT PRETO"/>
    <s v="ADELMO "/>
    <n v="120"/>
    <n v="120"/>
    <x v="0"/>
    <n v="1"/>
  </r>
  <r>
    <s v="PANO CAFÉ Z ESPECIAL 100X3,00MT PRETO "/>
    <s v="ADELMO "/>
    <n v="120"/>
    <n v="120"/>
    <x v="0"/>
    <n v="1"/>
  </r>
  <r>
    <s v="PANO CAFÉ Z ESPECIAL 75X2,80MT PRETO"/>
    <s v="ADELMO "/>
    <n v="200"/>
    <n v="200"/>
    <x v="0"/>
    <n v="1"/>
  </r>
  <r>
    <s v="PANO CAFÉ Z ESPECIAL 90X2,80MT PRETO"/>
    <s v="ADELMO "/>
    <n v="120"/>
    <n v="120"/>
    <x v="0"/>
    <n v="1"/>
  </r>
  <r>
    <s v="PANO CAFÉ Z ESPECIAL 100X2,80MT PRETO"/>
    <s v="ADELMO "/>
    <n v="120"/>
    <n v="120"/>
    <x v="0"/>
    <n v="1"/>
  </r>
  <r>
    <s v="PANO CAFÉ Z ESPECIAL 85X3,60MT PRETO"/>
    <s v="ADELMO "/>
    <n v="200"/>
    <n v="200"/>
    <x v="0"/>
    <n v="1"/>
  </r>
  <r>
    <s v="PANO CAFÉ Z ESPECIAL 06X2,80 PRETO"/>
    <s v="ADELMO "/>
    <n v="2500"/>
    <n v="2500"/>
    <x v="0"/>
    <n v="1"/>
  </r>
  <r>
    <s v="PANO CAFÉ Z ESPECIAL 75X3,00MT PRETO"/>
    <s v="SINEAR -ES"/>
    <n v="600"/>
    <n v="600"/>
    <x v="0"/>
    <n v="1"/>
  </r>
  <r>
    <s v="PANO CAFÉ Z ESPECIAL 75X3,00MT PRETO"/>
    <s v="SINEAR -ES"/>
    <n v="100"/>
    <n v="100"/>
    <x v="0"/>
    <n v="1"/>
  </r>
  <r>
    <s v="PANO CAFÉ ESPECIAL 80X3,00MT PRETO"/>
    <s v="SINEAR -ES"/>
    <n v="250"/>
    <n v="250"/>
    <x v="0"/>
    <n v="1"/>
  </r>
  <r>
    <s v="PANO CAFÉ Z ESPECIAL 75X3,20MT PRETO"/>
    <s v="SINEAR -ES"/>
    <n v="250"/>
    <n v="250"/>
    <x v="0"/>
    <n v="1"/>
  </r>
  <r>
    <s v="PANO CAFÉ ESPECIAL 80X2,80MT PRETO"/>
    <s v="LAUHUMAN"/>
    <n v="200"/>
    <n v="200"/>
    <x v="0"/>
    <n v="1"/>
  </r>
  <r>
    <s v="PANO CAFÉ Z ESPECIAL 100X2,80MT PRETO"/>
    <s v="LAUHUMAN"/>
    <n v="300"/>
    <n v="300"/>
    <x v="0"/>
    <n v="1"/>
  </r>
  <r>
    <s v="PANO CAFÉ Z ESPECIAL 10X2,80 PRETO"/>
    <s v="ADELMO "/>
    <n v="300"/>
    <n v="300"/>
    <x v="0"/>
    <n v="1"/>
  </r>
  <r>
    <s v="PANO CAFÉ Z ESPECIAL 08X2,80 PRETO"/>
    <s v="ADELMO "/>
    <n v="700"/>
    <n v="700"/>
    <x v="0"/>
    <n v="1"/>
  </r>
  <r>
    <s v="PANO CAFÉ Z COMUM 06X2,93MT"/>
    <s v="ADELMO "/>
    <n v="2500"/>
    <n v="2500"/>
    <x v="0"/>
    <n v="1"/>
  </r>
  <r>
    <s v="PANO CAFÉ ESPECIAL 80X3,00MT PRETO"/>
    <s v="ARLINDO SCHUTZZ"/>
    <n v="200"/>
    <n v="200"/>
    <x v="0"/>
    <n v="1"/>
  </r>
  <r>
    <s v="PANO CAFÉ Z ESPECIAL 70X3,00MT PRETO"/>
    <s v="ARLINDO SCHUTZZ"/>
    <n v="300"/>
    <n v="300"/>
    <x v="0"/>
    <n v="1"/>
  </r>
  <r>
    <s v="PANO CAFÉ Z EESPECIAL 06X3,00 PRETO"/>
    <s v="ARLINDO SCHUTZZ"/>
    <n v="100"/>
    <n v="100"/>
    <x v="0"/>
    <n v="1"/>
  </r>
  <r>
    <s v="PANO CAFÉ Z ESPECIAL 08X3,00 PRETO"/>
    <s v="ARLINDO SCHUTZZ"/>
    <n v="100"/>
    <n v="100"/>
    <x v="0"/>
    <n v="1"/>
  </r>
  <r>
    <s v="PANO CAFÉ Z ESPECIAL 10X3,00 PRETO"/>
    <s v="ARLINDO SCHUTZZ"/>
    <n v="100"/>
    <n v="100"/>
    <x v="0"/>
    <n v="1"/>
  </r>
  <r>
    <s v="PANO CAFÉ Z ESPECIAL 12X3,00 PRETO"/>
    <s v="ARLINDO SCHUTZZ"/>
    <n v="100"/>
    <n v="100"/>
    <x v="0"/>
    <n v="1"/>
  </r>
  <r>
    <s v="PANO CAFÉ Z ESPECIAL 70X2,80MT PRETO"/>
    <s v="ARLINDO SCHUTZZ"/>
    <n v="200"/>
    <n v="200"/>
    <x v="0"/>
    <n v="1"/>
  </r>
  <r>
    <s v="PANO CAFÉ Z COMUM 06X2,70MT"/>
    <s v="GRUPO FAE"/>
    <n v="8000"/>
    <n v="8000"/>
    <x v="0"/>
    <n v="1"/>
  </r>
  <r>
    <s v="PANO CAFÉ Z COMUM 06X2,70MT"/>
    <s v="ADELMO "/>
    <n v="1000"/>
    <n v="1000"/>
    <x v="0"/>
    <n v="1"/>
  </r>
  <r>
    <s v="PANO CAFÉ ESPECIAL 80X3,30MT PRETO"/>
    <s v="ADELMO "/>
    <n v="400"/>
    <n v="400"/>
    <x v="0"/>
    <n v="1"/>
  </r>
  <r>
    <s v="PANO CAFÉ Z ESPECIAL 70X3,60MT PRETO"/>
    <s v="ADELMO "/>
    <n v="350"/>
    <n v="350"/>
    <x v="0"/>
    <n v="1"/>
  </r>
  <r>
    <s v="PANO CAFÉ ESPECIAL 80X3,20MT PRETO"/>
    <s v="ADELMO "/>
    <n v="600"/>
    <n v="600"/>
    <x v="0"/>
    <n v="1"/>
  </r>
  <r>
    <s v="PANO CAFÉ Z ESPECIAL 70X3,20MT PRETO"/>
    <s v="ADELMO "/>
    <n v="700"/>
    <n v="700"/>
    <x v="0"/>
    <n v="1"/>
  </r>
  <r>
    <s v="PANO CAFÉ Z ESPECIAL 70X3,30MT PRETO"/>
    <s v="ADELMO "/>
    <n v="500"/>
    <n v="500"/>
    <x v="0"/>
    <n v="1"/>
  </r>
  <r>
    <s v="PANO CAFÉ Z COMUM 06SM"/>
    <s v="COCATREL"/>
    <n v="2000"/>
    <n v="2000"/>
    <x v="0"/>
    <n v="1"/>
  </r>
  <r>
    <s v="PANO CAFÉ ESPECIAL 15X3,85MT"/>
    <s v="COCATREL"/>
    <n v="1000"/>
    <n v="1000"/>
    <x v="0"/>
    <n v="1"/>
  </r>
  <r>
    <s v="PANO CAFÉ Z COMUM 04SM"/>
    <s v="COCATREL"/>
    <n v="1000"/>
    <n v="1000"/>
    <x v="0"/>
    <n v="1"/>
  </r>
  <r>
    <s v="PANO CAFÉ Z COMUM 10SM"/>
    <s v="COCATREL"/>
    <n v="5000"/>
    <n v="5000"/>
    <x v="0"/>
    <n v="1"/>
  </r>
  <r>
    <s v="PANO CAFÉ Z COMUM 12SM"/>
    <s v="COCATREL"/>
    <n v="2000"/>
    <n v="2000"/>
    <x v="0"/>
    <n v="1"/>
  </r>
  <r>
    <s v="PANO CAFÉ Z COMUM 20SM"/>
    <s v="COCATREL"/>
    <n v="3000"/>
    <n v="3000"/>
    <x v="0"/>
    <n v="1"/>
  </r>
  <r>
    <s v="PANO CAFÉ ESPECIAL 20X3,85MT"/>
    <s v="COCATREL"/>
    <n v="1000"/>
    <n v="1000"/>
    <x v="0"/>
    <n v="1"/>
  </r>
  <r>
    <s v="PANO CAFÉ ESPECIAL 10X3,85MT"/>
    <s v="COCATREL"/>
    <n v="2000"/>
    <n v="2000"/>
    <x v="0"/>
    <n v="1"/>
  </r>
  <r>
    <s v="PANO CAFÉ Z COMUM 15SM"/>
    <s v="COCATREL"/>
    <n v="3000"/>
    <n v="3000"/>
    <x v="0"/>
    <n v="1"/>
  </r>
  <r>
    <s v="PANO CAFÉ ESPECIAL 80X3,00MT PRETO"/>
    <s v="PERIATO E LOCATELLI"/>
    <n v="200"/>
    <n v="200"/>
    <x v="0"/>
    <n v="1"/>
  </r>
  <r>
    <s v="PANO CAFÉ Z ESPECIAL 70X3,00MT PRETO"/>
    <s v="PERIATO E LOCATELLI"/>
    <n v="200"/>
    <n v="200"/>
    <x v="0"/>
    <n v="1"/>
  </r>
  <r>
    <s v="PANO CAFÉ Z ESPECIAL 06X2,80 PRETO"/>
    <s v="PERIATO E LOCATELLI"/>
    <n v="400"/>
    <n v="400"/>
    <x v="0"/>
    <n v="1"/>
  </r>
  <r>
    <s v="PANO CAFÉ ESPECIAL 80X3,20MT PRETO"/>
    <s v="PERIATO E LOCATELLI"/>
    <n v="100"/>
    <n v="100"/>
    <x v="0"/>
    <n v="1"/>
  </r>
  <r>
    <s v="PANO CAFÉ Z ESPECIAL 70X3,20MT PRETO"/>
    <s v="PERIATO E LOCATELLI"/>
    <n v="100"/>
    <n v="100"/>
    <x v="0"/>
    <n v="1"/>
  </r>
  <r>
    <s v="PANO CAFÉ Z COMUM 06SM"/>
    <s v="PERIATO E LOCATELLI"/>
    <n v="2000"/>
    <n v="2000"/>
    <x v="0"/>
    <n v="1"/>
  </r>
  <r>
    <s v="PANO CAFÉ Z ESPECIAL 80X2,80MT PRETO"/>
    <s v="VA RAGNINI FILHO"/>
    <n v="100"/>
    <n v="100"/>
    <x v="0"/>
    <n v="1"/>
  </r>
  <r>
    <s v="PANO CAFÉ Z ESPECIAL 70X2,80MT PRETO"/>
    <s v="VA RAGNINI FILHO"/>
    <n v="100"/>
    <n v="100"/>
    <x v="0"/>
    <n v="1"/>
  </r>
  <r>
    <s v="PANO CAFÉ Z ESPECIAL 75X3,00MT PRETO"/>
    <s v="VA RAGNINI FILHO"/>
    <n v="50"/>
    <n v="50"/>
    <x v="0"/>
    <n v="1"/>
  </r>
  <r>
    <s v="PANO CAFÉ Z ESECIAL 90X3,00MT PRETO"/>
    <s v="VA RAGNINI FILHO"/>
    <n v="50"/>
    <n v="50"/>
    <x v="0"/>
    <n v="1"/>
  </r>
  <r>
    <s v="PANO CAFÉ Z ESPECIAL 65X3,00MT PRETO"/>
    <s v="VA RAGNINI FILHO"/>
    <n v="150"/>
    <n v="150"/>
    <x v="0"/>
    <n v="1"/>
  </r>
  <r>
    <s v="PANO CAFÉ Z ESPECIAL 80X2,80MT PRETO"/>
    <s v="SANTA JÚLIA"/>
    <n v="200"/>
    <n v="200"/>
    <x v="0"/>
    <n v="1"/>
  </r>
  <r>
    <s v="PANO CAFÉ Z ESPECIAL 80X3,60MT PRETO"/>
    <s v="SANTA JÚLIA"/>
    <n v="800"/>
    <n v="800"/>
    <x v="0"/>
    <n v="1"/>
  </r>
  <r>
    <s v="PANO CAFÉ Z ESPECIAL 06X2,80 PRETO"/>
    <s v="SANTA JÚLIA"/>
    <n v="1000"/>
    <n v="1000"/>
    <x v="0"/>
    <n v="1"/>
  </r>
  <r>
    <s v="PANO CAFÉ Z ESPECIAL 80X3,20MT PRETO"/>
    <s v="SANTA JÚLIA"/>
    <n v="1000"/>
    <n v="1000"/>
    <x v="0"/>
    <n v="1"/>
  </r>
  <r>
    <s v="PANO CAFÉ Z COMUM 06SM"/>
    <s v="SANTA JÚLIA"/>
    <n v="12000"/>
    <n v="12000"/>
    <x v="0"/>
    <n v="1"/>
  </r>
  <r>
    <s v="PANO CAFÉ Z ESPECIAL 12X04"/>
    <s v="COOCAFE LAJINHA"/>
    <n v="2000"/>
    <n v="2000"/>
    <x v="0"/>
    <n v="1"/>
  </r>
  <r>
    <s v="PANO CAFÉ Z ESPECIAL 15X04"/>
    <s v="COOCAFE LAJINHA"/>
    <n v="2000"/>
    <n v="2000"/>
    <x v="0"/>
    <n v="1"/>
  </r>
  <r>
    <s v="PANO CAFÉ Z ESPECIAL 20X04"/>
    <s v="COOCAFE LAJINHA"/>
    <n v="1000"/>
    <n v="1000"/>
    <x v="0"/>
    <n v="1"/>
  </r>
  <r>
    <s v="PANO CAFÉ Z ESPECIAL 10X04"/>
    <s v="COOCAFE LAJINHA"/>
    <n v="1000"/>
    <n v="1000"/>
    <x v="0"/>
    <n v="1"/>
  </r>
  <r>
    <s v="PANO CAFÉ Z ESPECIAL 10X04"/>
    <s v="COOCAFE LAJINHA"/>
    <n v="2000"/>
    <n v="2000"/>
    <x v="0"/>
    <n v="1"/>
  </r>
  <r>
    <s v="PANO CAFÉ Z ESPECIAL 12X04"/>
    <s v="COOCAFE LAJINHA"/>
    <n v="4000"/>
    <n v="4000"/>
    <x v="0"/>
    <n v="1"/>
  </r>
  <r>
    <s v="PANO CAFÉ Z COMUM 20X04"/>
    <s v="SYAGE"/>
    <n v="600"/>
    <n v="600"/>
    <x v="0"/>
    <n v="1"/>
  </r>
  <r>
    <s v="PANO CAFÉ Z COMUM 15X04"/>
    <s v="SYAGE"/>
    <n v="1000"/>
    <n v="1000"/>
    <x v="0"/>
    <n v="1"/>
  </r>
  <r>
    <s v="PANO CAFÉ Z COMUM 12X04"/>
    <s v="SYAGE"/>
    <n v="2000"/>
    <n v="2000"/>
    <x v="0"/>
    <n v="1"/>
  </r>
  <r>
    <s v="PANO CAFÉ Z COMUM 10X04"/>
    <s v="SYAGE"/>
    <n v="2000"/>
    <n v="2000"/>
    <x v="0"/>
    <n v="1"/>
  </r>
  <r>
    <s v="PANO CAFÉ Z COMUM 08X04"/>
    <s v="SYAGE"/>
    <n v="400"/>
    <n v="400"/>
    <x v="0"/>
    <n v="1"/>
  </r>
  <r>
    <s v="PANO CAFÉ Z COMUM 20X04"/>
    <s v="SYAGE"/>
    <n v="600"/>
    <n v="600"/>
    <x v="0"/>
    <n v="1"/>
  </r>
  <r>
    <s v="PANO CAFÉ Z COMUM 15X04"/>
    <s v="SYAGE"/>
    <n v="1000"/>
    <n v="1000"/>
    <x v="0"/>
    <n v="1"/>
  </r>
  <r>
    <s v="PANO CAFÉ Z COMUM 12X04"/>
    <s v="SYAGE"/>
    <n v="2000"/>
    <n v="2000"/>
    <x v="0"/>
    <n v="1"/>
  </r>
  <r>
    <s v="PANO CAFÉ Z COMUM 10X04"/>
    <s v="SYAGE"/>
    <n v="2000"/>
    <n v="2000"/>
    <x v="0"/>
    <n v="1"/>
  </r>
  <r>
    <s v="PANO CAFÉ Z COMUM 08X04"/>
    <s v="SYAGE"/>
    <n v="400"/>
    <n v="400"/>
    <x v="0"/>
    <n v="1"/>
  </r>
  <r>
    <s v="PANO CAFÉ Z ESPECIAL 70X4,15MT PRETO"/>
    <s v="PIANNA"/>
    <n v="530"/>
    <n v="530"/>
    <x v="0"/>
    <n v="1"/>
  </r>
  <r>
    <s v="PANO CAFÉ Z ESPECIAL 80X3,30MT PRETO"/>
    <s v="PIANNA"/>
    <n v="70"/>
    <n v="70"/>
    <x v="0"/>
    <n v="1"/>
  </r>
  <r>
    <s v="PANO CAFÉ Z ESPECIAL 70X4,15MT PRETO"/>
    <s v="HUGO NATAN"/>
    <n v="300"/>
    <n v="300"/>
    <x v="0"/>
    <n v="1"/>
  </r>
  <r>
    <s v="PANO CAFÉ Z ESPECIAL 15X04"/>
    <s v="COOCAFE LAJINHA"/>
    <n v="2000"/>
    <n v="2000"/>
    <x v="1"/>
    <n v="1"/>
  </r>
  <r>
    <s v="PANO CAFÉ Z ESPECIAL 20X04"/>
    <s v="COOCAFE LAJINHA"/>
    <n v="1500"/>
    <n v="1500"/>
    <x v="1"/>
    <n v="1"/>
  </r>
  <r>
    <s v="PANO CAFÉ Z ESPECIAL 12X04"/>
    <s v="COOCAFE LAJINHA"/>
    <n v="1500"/>
    <n v="1500"/>
    <x v="1"/>
    <n v="1"/>
  </r>
  <r>
    <s v="PANO CAFÉ Z ESPECIAL 10X04"/>
    <s v="COOCAFE LAJINHA"/>
    <n v="1000"/>
    <n v="1000"/>
    <x v="1"/>
    <n v="1"/>
  </r>
  <r>
    <s v="PANO CAFÉ Z COMUM 06SM"/>
    <s v="SYAGE"/>
    <n v="600"/>
    <n v="600"/>
    <x v="1"/>
    <n v="1"/>
  </r>
  <r>
    <s v="PANO CAFÉ Z COMUM 08SM"/>
    <s v="SYAGE"/>
    <n v="400"/>
    <n v="400"/>
    <x v="1"/>
    <n v="1"/>
  </r>
  <r>
    <s v="PANO CAFÉ Z COMUM 10SM"/>
    <s v="SYAGE"/>
    <n v="1000"/>
    <n v="1000"/>
    <x v="1"/>
    <n v="1"/>
  </r>
  <r>
    <s v="PANO CAFÉ Z COMUM 12SM"/>
    <s v="SYAGE"/>
    <n v="1000"/>
    <n v="1000"/>
    <x v="1"/>
    <n v="1"/>
  </r>
  <r>
    <s v="PANO CAFÉ Z COMUM 15SM"/>
    <s v="SYAGE"/>
    <n v="400"/>
    <n v="400"/>
    <x v="1"/>
    <n v="1"/>
  </r>
  <r>
    <s v="PANO CAFÉ Z COMUM 08X04"/>
    <s v="SYAGE"/>
    <n v="400"/>
    <n v="400"/>
    <x v="1"/>
    <n v="1"/>
  </r>
  <r>
    <s v="PANO CAFÉ Z COMUM 10X04"/>
    <s v="SYAGE"/>
    <n v="1000"/>
    <n v="1000"/>
    <x v="1"/>
    <n v="1"/>
  </r>
  <r>
    <s v="PANO CAFÉ Z COMUM 12X04"/>
    <s v="SYAGE"/>
    <n v="1200"/>
    <n v="1200"/>
    <x v="1"/>
    <n v="1"/>
  </r>
  <r>
    <s v="PANO CAFÉ Z COMUM 15X04"/>
    <s v="SYAGE"/>
    <n v="500"/>
    <n v="500"/>
    <x v="1"/>
    <n v="1"/>
  </r>
  <r>
    <s v="PANO CAFÉ Z COMUM 20X04"/>
    <s v="SYAGE"/>
    <n v="300"/>
    <n v="300"/>
    <x v="1"/>
    <n v="1"/>
  </r>
  <r>
    <s v="PANO CAFÉ Z ESPECIAL 90X2,80MT PRETO"/>
    <s v="RAGNINI "/>
    <n v="120"/>
    <n v="120"/>
    <x v="1"/>
    <n v="1"/>
  </r>
  <r>
    <s v="PANO CAFÉ Z ESPECIAL 100X3,00MT PRETO "/>
    <s v="RAGNINI "/>
    <n v="110"/>
    <n v="110"/>
    <x v="1"/>
    <n v="1"/>
  </r>
  <r>
    <s v="PANO CAFÉ Z ESPECIAL 50X3,00MT PRETO"/>
    <s v="RAGNINI "/>
    <n v="30"/>
    <n v="30"/>
    <x v="1"/>
    <n v="1"/>
  </r>
  <r>
    <s v="PANO CAFÉ ESPECIAL 80X3,00MT PRETO"/>
    <s v="RAGNINI "/>
    <n v="100"/>
    <n v="100"/>
    <x v="1"/>
    <n v="1"/>
  </r>
  <r>
    <s v="PANO CAFÉ Z ESPECIAL 70X3,00MT PRETO"/>
    <s v="RAGNINI "/>
    <n v="400"/>
    <n v="400"/>
    <x v="1"/>
    <n v="1"/>
  </r>
  <r>
    <s v="PANO CAFÉ Z ESPECIAL 85X3,00MT PRETO"/>
    <s v="RAGNINI "/>
    <n v="50"/>
    <n v="50"/>
    <x v="1"/>
    <n v="1"/>
  </r>
  <r>
    <s v="PANO CAFÉ Z ESPECIAL 60X3,00MT PRETO"/>
    <s v="RAGNINI "/>
    <n v="30"/>
    <n v="30"/>
    <x v="1"/>
    <n v="1"/>
  </r>
  <r>
    <s v="PANO CAFÉ Z ESPECIAL 20X04"/>
    <s v="COOCAFE LAJINHA"/>
    <n v="1000"/>
    <n v="200"/>
    <x v="2"/>
    <n v="0.2"/>
  </r>
  <r>
    <s v="PANO CAFÉ Z ESPECIAL 12X04"/>
    <s v="COOCAFE LAJINHA"/>
    <n v="3000"/>
    <m/>
    <x v="3"/>
    <n v="0"/>
  </r>
  <r>
    <s v="PANO CAFÉ Z ESPECIAL 10X04"/>
    <s v="COOCAFE LAJINHA"/>
    <n v="1000"/>
    <m/>
    <x v="3"/>
    <n v="0"/>
  </r>
  <r>
    <s v="PANO CAFÉ Z ESPECIAL 15X04 PRETO"/>
    <s v="COOCAFE LAJINHA"/>
    <n v="100"/>
    <m/>
    <x v="3"/>
    <n v="0"/>
  </r>
  <r>
    <s v="PANO CAFÉ Z ESPECIAL 12X04 PRETO"/>
    <s v="COOCAFE LAJINHA"/>
    <n v="500"/>
    <m/>
    <x v="3"/>
    <n v="0"/>
  </r>
  <r>
    <s v="PANO CAFÉ Z ESPECIAL 10X04 PRETO"/>
    <s v="COOCAFE LAJINHA"/>
    <n v="500"/>
    <m/>
    <x v="3"/>
    <n v="0"/>
  </r>
  <r>
    <s v="PANO CAFÉ Z EESPECIAL 06X3,00 PRETO"/>
    <s v="ZM COMERCIO"/>
    <n v="100"/>
    <m/>
    <x v="3"/>
    <n v="0"/>
  </r>
  <r>
    <s v="PANO CAFÉ Z ESPECIAL 10X3,00 PRETO"/>
    <s v="ZM COMERCIO"/>
    <n v="20"/>
    <m/>
    <x v="3"/>
    <n v="0"/>
  </r>
  <r>
    <s v="PANO CAFÉ Z ESPECIAL 12X3,00 PRETO"/>
    <s v="ZM COMERCIO"/>
    <n v="10"/>
    <m/>
    <x v="3"/>
    <n v="0"/>
  </r>
  <r>
    <s v="PANO CAFÉ Z ESPECIAL 80X3,00MT PRETO"/>
    <s v="ZM COMERCIO"/>
    <n v="10"/>
    <m/>
    <x v="3"/>
    <n v="0"/>
  </r>
  <r>
    <s v="PANO CAFÉ Z ESPECIAL 08X3,00 PRETO"/>
    <s v="RODIGO TOLEDO"/>
    <n v="30"/>
    <m/>
    <x v="3"/>
    <n v="0"/>
  </r>
  <r>
    <s v="PANO CAFÉ Z ESPECIAL 10X3,00 PRETO"/>
    <s v="RODIGO TOLEDO"/>
    <n v="40"/>
    <m/>
    <x v="3"/>
    <n v="0"/>
  </r>
  <r>
    <s v="PANO CAFÉ Z ESPECIAL 12X3,00 PRETO"/>
    <s v="RODIGO TOLEDO"/>
    <n v="10"/>
    <m/>
    <x v="3"/>
    <n v="0"/>
  </r>
  <r>
    <s v="PANO CAFÉ Z ESPECIAL 10X3,00 PRETO"/>
    <s v="AGROBESSA"/>
    <n v="40"/>
    <m/>
    <x v="3"/>
    <n v="0"/>
  </r>
  <r>
    <s v="PANO CAFÉ Z ESPECIAL 12X3,00 PRETO"/>
    <s v="AGROBESSA"/>
    <n v="20"/>
    <m/>
    <x v="3"/>
    <n v="0"/>
  </r>
  <r>
    <s v="PANO CAFÉ Z ESPECIAL 06X3,00 PRETO"/>
    <s v="BRISKE BUENO"/>
    <n v="30"/>
    <m/>
    <x v="3"/>
    <n v="0"/>
  </r>
  <r>
    <s v="PANO CAFÉ Z ESPECIAL 08X3,00 PRETO"/>
    <s v="BRISKE BUENO"/>
    <n v="30"/>
    <m/>
    <x v="3"/>
    <n v="0"/>
  </r>
  <r>
    <s v="PANO CAFÉ Z ESPECIAL 10X3,00 PRETO"/>
    <s v="BRISKE BUENO"/>
    <n v="20"/>
    <m/>
    <x v="3"/>
    <n v="0"/>
  </r>
  <r>
    <s v="PANO CAFÉ Z ESPECIAL 12X3,00 PRETO"/>
    <s v="BRISKE BUENO"/>
    <n v="10"/>
    <m/>
    <x v="3"/>
    <n v="0"/>
  </r>
  <r>
    <s v="PANO CAFÉ Z COMUM 06X2,70MT"/>
    <s v="OP.ESTOQUE"/>
    <n v="20000"/>
    <n v="6700"/>
    <x v="3"/>
    <n v="0.33500000000000002"/>
  </r>
  <r>
    <s v="PANO CAFÉ Z COMUM 10X04"/>
    <s v="OP.ESTOQUE"/>
    <n v="7000"/>
    <m/>
    <x v="3"/>
    <n v="0"/>
  </r>
  <r>
    <s v="PANO CAFÉ Z COMUM 12X04"/>
    <s v="OP.ESTOQUE"/>
    <n v="7000"/>
    <m/>
    <x v="3"/>
    <n v="0"/>
  </r>
  <r>
    <s v="PANO CAFÉ Z COMUM 15X04"/>
    <s v="OP.ESTOQUE"/>
    <n v="4000"/>
    <m/>
    <x v="3"/>
    <n v="0"/>
  </r>
  <r>
    <s v="PANO CAFÉ Z COMUM 20X04"/>
    <s v="OP.ESTOQUE"/>
    <n v="2000"/>
    <m/>
    <x v="3"/>
    <n v="0"/>
  </r>
  <r>
    <s v="PANO CAFÉ Z COMUM 08X04"/>
    <s v="OP.ESTOQUE"/>
    <n v="2000"/>
    <m/>
    <x v="3"/>
    <n v="0"/>
  </r>
  <r>
    <s v="PANO CAFÉ Z ESPECIAL 10X04"/>
    <s v="COOCAFE LAJINHA"/>
    <n v="4000"/>
    <m/>
    <x v="3"/>
    <n v="0"/>
  </r>
  <r>
    <s v="PANO CAFÉ Z ESPECIAL 12X04"/>
    <s v="COOCAFE LAJINHA"/>
    <n v="2000"/>
    <m/>
    <x v="3"/>
    <n v="0"/>
  </r>
  <r>
    <s v="PANO CAFÉ ESPECIAL 80X3,00MT PRETO"/>
    <s v="NATURAL CHEMICAL"/>
    <n v="350"/>
    <m/>
    <x v="3"/>
    <n v="0"/>
  </r>
  <r>
    <s v="PANO CAFÉ Z ESPECIAL 70X3,00MT PRETO"/>
    <s v="NATURAL CHEMICAL"/>
    <n v="350"/>
    <m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F217:H222" firstHeaderRow="0" firstDataRow="1" firstDataCol="1"/>
  <pivotFields count="6">
    <pivotField showAll="0"/>
    <pivotField showAll="0"/>
    <pivotField dataField="1" numFmtId="3" showAll="0"/>
    <pivotField dataField="1" showAll="0"/>
    <pivotField axis="axisRow" showAll="0">
      <items count="5">
        <item x="0"/>
        <item x="1"/>
        <item x="3"/>
        <item x="2"/>
        <item t="default"/>
      </items>
    </pivotField>
    <pivotField numFmtId="9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PEDIDO" fld="2" baseField="0" baseItem="0" numFmtId="3"/>
    <dataField name=" PRODUZIDO" fld="3" baseField="0" baseItem="0"/>
  </dataFields>
  <formats count="47">
    <format dxfId="105">
      <pivotArea field="4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collapsedLevelsAreSubtotals="1" fieldPosition="0">
        <references count="1">
          <reference field="4" count="0"/>
        </references>
      </pivotArea>
    </format>
    <format dxfId="102">
      <pivotArea grandRow="1" outline="0" collapsedLevelsAreSubtotals="1" fieldPosition="0"/>
    </format>
    <format dxfId="101">
      <pivotArea grandRow="1" outline="0" collapsedLevelsAreSubtotals="1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4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4" type="button" dataOnly="0" labelOnly="1" outline="0" axis="axisRow" fieldPosition="0"/>
    </format>
    <format dxfId="91">
      <pivotArea dataOnly="0" labelOnly="1" fieldPosition="0">
        <references count="1">
          <reference field="4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collapsedLevelsAreSubtotals="1" fieldPosition="0">
        <references count="1">
          <reference field="4" count="1">
            <x v="2"/>
          </reference>
        </references>
      </pivotArea>
    </format>
    <format dxfId="87">
      <pivotArea dataOnly="0" labelOnly="1" fieldPosition="0">
        <references count="1">
          <reference field="4" count="1">
            <x v="2"/>
          </reference>
        </references>
      </pivotArea>
    </format>
    <format dxfId="86">
      <pivotArea collapsedLevelsAreSubtotals="1" fieldPosition="0">
        <references count="1">
          <reference field="4" count="1">
            <x v="1"/>
          </reference>
        </references>
      </pivotArea>
    </format>
    <format dxfId="85">
      <pivotArea dataOnly="0" labelOnly="1" fieldPosition="0">
        <references count="1">
          <reference field="4" count="1">
            <x v="1"/>
          </reference>
        </references>
      </pivotArea>
    </format>
    <format dxfId="84">
      <pivotArea collapsedLevelsAreSubtotals="1" fieldPosition="0">
        <references count="1">
          <reference field="4" count="1">
            <x v="0"/>
          </reference>
        </references>
      </pivotArea>
    </format>
    <format dxfId="83">
      <pivotArea dataOnly="0" labelOnly="1" fieldPosition="0">
        <references count="1">
          <reference field="4" count="1">
            <x v="0"/>
          </reference>
        </references>
      </pivotArea>
    </format>
    <format dxfId="82">
      <pivotArea type="all" dataOnly="0" outline="0" fieldPosition="0"/>
    </format>
    <format dxfId="81">
      <pivotArea field="4" type="button" dataOnly="0" labelOnly="1" outline="0" axis="axisRow" fieldPosition="0"/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field="4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dataOnly="0" labelOnly="1" grandRow="1" outline="0" fieldPosition="0"/>
    </format>
    <format dxfId="73">
      <pivotArea type="all" dataOnly="0" outline="0" fieldPosition="0"/>
    </format>
    <format dxfId="72">
      <pivotArea dataOnly="0" labelOnly="1" fieldPosition="0">
        <references count="1">
          <reference field="4" count="0"/>
        </references>
      </pivotArea>
    </format>
    <format dxfId="71">
      <pivotArea type="all" dataOnly="0" outline="0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type="all" dataOnly="0" outline="0" fieldPosition="0"/>
    </format>
    <format dxfId="68">
      <pivotArea dataOnly="0" labelOnly="1" grandRow="1" outline="0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1">
            <reference field="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rowHeaderCaption=" MODELOS">
  <location ref="B3:D8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'QTD BOBINAS" fld="2" baseField="0" baseItem="0"/>
    <dataField name=" ' KG" fld="3" baseField="0" baseItem="0" numFmtId="164"/>
  </dataFields>
  <formats count="26">
    <format dxfId="5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6">
      <pivotArea collapsedLevelsAreSubtotals="1" fieldPosition="0">
        <references count="1">
          <reference field="0" count="0"/>
        </references>
      </pivotArea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collapsedLevelsAreSubtotals="1" fieldPosition="0">
        <references count="1">
          <reference field="0" count="1">
            <x v="3"/>
          </reference>
        </references>
      </pivotArea>
    </format>
    <format dxfId="51">
      <pivotArea dataOnly="0" labelOnly="1" fieldPosition="0">
        <references count="1">
          <reference field="0" count="1">
            <x v="3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collapsedLevelsAreSubtotals="1" fieldPosition="0">
        <references count="1">
          <reference field="0" count="1">
            <x v="0"/>
          </reference>
        </references>
      </pivotArea>
    </format>
    <format dxfId="33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compact="0" compactData="0" gridDropZones="1" multipleFieldFilters="0">
  <location ref="B3:E65" firstHeaderRow="1" firstDataRow="2" firstDataCol="2"/>
  <pivotFields count="13">
    <pivotField axis="axisRow" compact="0" outline="0" showAll="0" defaultSubtotal="0">
      <items count="47">
        <item x="45"/>
        <item x="39"/>
        <item x="44"/>
        <item x="5"/>
        <item x="15"/>
        <item x="35"/>
        <item x="7"/>
        <item x="16"/>
        <item x="40"/>
        <item x="38"/>
        <item x="33"/>
        <item x="28"/>
        <item x="41"/>
        <item x="42"/>
        <item x="46"/>
        <item x="43"/>
        <item x="29"/>
        <item x="3"/>
        <item x="24"/>
        <item x="27"/>
        <item x="30"/>
        <item x="22"/>
        <item x="9"/>
        <item x="10"/>
        <item x="26"/>
        <item x="31"/>
        <item x="32"/>
        <item x="17"/>
        <item x="14"/>
        <item x="0"/>
        <item x="18"/>
        <item x="4"/>
        <item x="1"/>
        <item x="36"/>
        <item x="37"/>
        <item x="34"/>
        <item x="20"/>
        <item x="19"/>
        <item x="25"/>
        <item x="6"/>
        <item x="11"/>
        <item x="2"/>
        <item x="8"/>
        <item x="13"/>
        <item x="12"/>
        <item x="23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numFmtId="9" outline="0" showAll="0" defaultSubtotal="0"/>
    <pivotField compact="0" numFmtId="164" outline="0" showAll="0" defaultSubtotal="0"/>
    <pivotField compact="0" outline="0" showAll="0" defaultSubtotal="0"/>
    <pivotField dataField="1" compact="0" outline="0" showAll="0" defaultSubtotal="0"/>
    <pivotField compact="0" numFmtId="164" outline="0" showAll="0" defaultSubtotal="0"/>
    <pivotField axis="axisRow" compact="0" outline="0" showAll="0" defaultSubtotal="0">
      <items count="7">
        <item x="1"/>
        <item x="4"/>
        <item x="3"/>
        <item x="5"/>
        <item x="0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dataField="1" compact="0" outline="0" showAll="0" defaultSubtotal="0"/>
  </pivotFields>
  <rowFields count="2">
    <field x="10"/>
    <field x="0"/>
  </rowFields>
  <rowItems count="61">
    <i>
      <x/>
      <x v="9"/>
    </i>
    <i r="1">
      <x v="13"/>
    </i>
    <i r="1">
      <x v="14"/>
    </i>
    <i r="1">
      <x v="15"/>
    </i>
    <i>
      <x v="1"/>
      <x v="18"/>
    </i>
    <i r="1">
      <x v="31"/>
    </i>
    <i r="1">
      <x v="40"/>
    </i>
    <i>
      <x v="2"/>
      <x v="4"/>
    </i>
    <i r="1">
      <x v="17"/>
    </i>
    <i r="1">
      <x v="30"/>
    </i>
    <i r="1">
      <x v="32"/>
    </i>
    <i r="1">
      <x v="37"/>
    </i>
    <i>
      <x v="3"/>
      <x v="5"/>
    </i>
    <i r="1">
      <x v="33"/>
    </i>
    <i r="1">
      <x v="42"/>
    </i>
    <i>
      <x v="4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5"/>
      <x/>
    </i>
    <i r="1">
      <x v="2"/>
    </i>
    <i>
      <x v="6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QTD BOBINAS" fld="8" baseField="0" baseItem="0"/>
    <dataField name="Soma de PESO TTL" fld="12" baseField="0" baseItem="0" numFmtId="164"/>
  </dataFields>
  <formats count="33">
    <format dxfId="32">
      <pivotArea collapsedLevelsAreSubtotals="1" fieldPosition="0">
        <references count="1">
          <reference field="10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0" type="button" dataOnly="0" labelOnly="1" outline="0" axis="axisRow" fieldPosition="0"/>
    </format>
    <format dxfId="27">
      <pivotArea field="0" type="button" dataOnly="0" labelOnly="1" outline="0" axis="axisRow" fieldPosition="1"/>
    </format>
    <format dxfId="26">
      <pivotArea dataOnly="0" labelOnly="1" outline="0" fieldPosition="0">
        <references count="1">
          <reference field="10" count="0"/>
        </references>
      </pivotArea>
    </format>
    <format dxfId="25">
      <pivotArea dataOnly="0" labelOnly="1" outline="0" fieldPosition="0">
        <references count="1">
          <reference field="10" count="0" defaultSubtotal="1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2">
          <reference field="0" count="4">
            <x v="9"/>
            <x v="13"/>
            <x v="14"/>
            <x v="15"/>
          </reference>
          <reference field="10" count="1" selected="0">
            <x v="0"/>
          </reference>
        </references>
      </pivotArea>
    </format>
    <format dxfId="22">
      <pivotArea dataOnly="0" labelOnly="1" outline="0" fieldPosition="0">
        <references count="2">
          <reference field="0" count="3">
            <x v="18"/>
            <x v="31"/>
            <x v="40"/>
          </reference>
          <reference field="10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0" count="10">
            <x v="4"/>
            <x v="16"/>
            <x v="17"/>
            <x v="20"/>
            <x v="25"/>
            <x v="26"/>
            <x v="30"/>
            <x v="32"/>
            <x v="37"/>
            <x v="41"/>
          </reference>
          <reference field="10" count="1" selected="0">
            <x v="2"/>
          </reference>
        </references>
      </pivotArea>
    </format>
    <format dxfId="20">
      <pivotArea dataOnly="0" labelOnly="1" outline="0" fieldPosition="0">
        <references count="2">
          <reference field="0" count="2">
            <x v="5"/>
            <x v="33"/>
          </reference>
          <reference field="10" count="1" selected="0">
            <x v="3"/>
          </reference>
        </references>
      </pivotArea>
    </format>
    <format dxfId="19">
      <pivotArea dataOnly="0" labelOnly="1" outline="0" fieldPosition="0">
        <references count="2">
          <reference field="0" count="4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0" count="1" selected="0">
            <x v="4"/>
          </reference>
        </references>
      </pivotArea>
    </format>
    <format dxfId="18">
      <pivotArea type="topRight" dataOnly="0" labelOnly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0" type="button" dataOnly="0" labelOnly="1" outline="0" axis="axisRow" fieldPosition="0"/>
    </format>
    <format dxfId="13">
      <pivotArea field="0" type="button" dataOnly="0" labelOnly="1" outline="0" axis="axisRow" fieldPosition="1"/>
    </format>
    <format dxfId="12">
      <pivotArea dataOnly="0" labelOnly="1" outline="0" fieldPosition="0">
        <references count="1">
          <reference field="10" count="0"/>
        </references>
      </pivotArea>
    </format>
    <format dxfId="11">
      <pivotArea dataOnly="0" labelOnly="1" outline="0" fieldPosition="0">
        <references count="1">
          <reference field="10" count="0" defaultSubtotal="1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0" count="4">
            <x v="9"/>
            <x v="13"/>
            <x v="14"/>
            <x v="15"/>
          </reference>
          <reference field="10" count="1" selected="0">
            <x v="0"/>
          </reference>
        </references>
      </pivotArea>
    </format>
    <format dxfId="8">
      <pivotArea dataOnly="0" labelOnly="1" outline="0" fieldPosition="0">
        <references count="2">
          <reference field="0" count="3">
            <x v="18"/>
            <x v="31"/>
            <x v="40"/>
          </reference>
          <reference field="10" count="1" selected="0">
            <x v="1"/>
          </reference>
        </references>
      </pivotArea>
    </format>
    <format dxfId="7">
      <pivotArea dataOnly="0" labelOnly="1" outline="0" fieldPosition="0">
        <references count="2">
          <reference field="0" count="10">
            <x v="4"/>
            <x v="16"/>
            <x v="17"/>
            <x v="20"/>
            <x v="25"/>
            <x v="26"/>
            <x v="30"/>
            <x v="32"/>
            <x v="37"/>
            <x v="41"/>
          </reference>
          <reference field="10" count="1" selected="0">
            <x v="2"/>
          </reference>
        </references>
      </pivotArea>
    </format>
    <format dxfId="6">
      <pivotArea dataOnly="0" labelOnly="1" outline="0" fieldPosition="0">
        <references count="2">
          <reference field="0" count="2">
            <x v="5"/>
            <x v="33"/>
          </reference>
          <reference field="10" count="1" selected="0">
            <x v="3"/>
          </reference>
        </references>
      </pivotArea>
    </format>
    <format dxfId="5">
      <pivotArea dataOnly="0" labelOnly="1" outline="0" fieldPosition="0">
        <references count="2">
          <reference field="0" count="4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0" count="1" selected="0">
            <x v="4"/>
          </reference>
        </references>
      </pivotArea>
    </format>
    <format dxfId="4">
      <pivotArea type="topRight" dataOnly="0" labelOnly="1" outline="0" fieldPosition="0"/>
    </format>
    <format dxfId="3">
      <pivotArea outline="0" fieldPosition="0">
        <references count="2">
          <reference field="0" count="19" selected="0">
            <x v="4"/>
            <x v="5"/>
            <x v="9"/>
            <x v="13"/>
            <x v="14"/>
            <x v="15"/>
            <x v="16"/>
            <x v="17"/>
            <x v="18"/>
            <x v="20"/>
            <x v="25"/>
            <x v="26"/>
            <x v="30"/>
            <x v="31"/>
            <x v="32"/>
            <x v="33"/>
            <x v="37"/>
            <x v="40"/>
            <x v="41"/>
          </reference>
          <reference field="10" count="4" selected="0">
            <x v="0"/>
            <x v="1"/>
            <x v="2"/>
            <x v="3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1">
      <pivotArea type="topRight" dataOnly="0" labelOnly="1" outline="0" fieldPosition="0"/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2:I200"/>
  <sheetViews>
    <sheetView showGridLines="0" topLeftCell="A100" zoomScaleNormal="100" workbookViewId="0">
      <selection activeCell="C118" sqref="C118"/>
    </sheetView>
  </sheetViews>
  <sheetFormatPr defaultColWidth="9.140625" defaultRowHeight="13.5" x14ac:dyDescent="0.25"/>
  <cols>
    <col min="1" max="1" width="2.7109375" style="21" customWidth="1"/>
    <col min="2" max="2" width="10.140625" style="21" bestFit="1" customWidth="1"/>
    <col min="3" max="3" width="41.7109375" style="21" bestFit="1" customWidth="1"/>
    <col min="4" max="4" width="10.140625" style="21" bestFit="1" customWidth="1"/>
    <col min="5" max="5" width="30.85546875" style="21" bestFit="1" customWidth="1"/>
    <col min="6" max="6" width="10.140625" style="21" bestFit="1" customWidth="1"/>
    <col min="7" max="7" width="11.28515625" style="21" customWidth="1"/>
    <col min="8" max="8" width="10.140625" style="21" bestFit="1" customWidth="1"/>
    <col min="9" max="9" width="35.85546875" style="21" bestFit="1" customWidth="1"/>
    <col min="10" max="16384" width="9.140625" style="21"/>
  </cols>
  <sheetData>
    <row r="2" spans="2:3" x14ac:dyDescent="0.25">
      <c r="B2" s="44" t="s">
        <v>423</v>
      </c>
      <c r="C2" s="44" t="s">
        <v>424</v>
      </c>
    </row>
    <row r="3" spans="2:3" x14ac:dyDescent="0.25">
      <c r="B3" s="44"/>
      <c r="C3" s="44" t="s">
        <v>494</v>
      </c>
    </row>
    <row r="4" spans="2:3" x14ac:dyDescent="0.25">
      <c r="B4" s="44"/>
      <c r="C4" s="44" t="s">
        <v>504</v>
      </c>
    </row>
    <row r="5" spans="2:3" x14ac:dyDescent="0.25">
      <c r="B5" s="21" t="s">
        <v>18</v>
      </c>
      <c r="C5" s="21" t="s">
        <v>19</v>
      </c>
    </row>
    <row r="6" spans="2:3" x14ac:dyDescent="0.25">
      <c r="B6" s="21" t="s">
        <v>20</v>
      </c>
      <c r="C6" s="21" t="s">
        <v>21</v>
      </c>
    </row>
    <row r="7" spans="2:3" x14ac:dyDescent="0.25">
      <c r="B7" s="21" t="s">
        <v>22</v>
      </c>
      <c r="C7" s="21" t="s">
        <v>23</v>
      </c>
    </row>
    <row r="8" spans="2:3" x14ac:dyDescent="0.25">
      <c r="B8" s="21" t="s">
        <v>24</v>
      </c>
      <c r="C8" s="21" t="s">
        <v>25</v>
      </c>
    </row>
    <row r="9" spans="2:3" x14ac:dyDescent="0.25">
      <c r="B9" s="21" t="s">
        <v>26</v>
      </c>
      <c r="C9" s="21" t="s">
        <v>27</v>
      </c>
    </row>
    <row r="10" spans="2:3" x14ac:dyDescent="0.25">
      <c r="B10" s="21" t="s">
        <v>28</v>
      </c>
      <c r="C10" s="21" t="s">
        <v>29</v>
      </c>
    </row>
    <row r="11" spans="2:3" x14ac:dyDescent="0.25">
      <c r="C11" s="21" t="s">
        <v>443</v>
      </c>
    </row>
    <row r="12" spans="2:3" x14ac:dyDescent="0.25">
      <c r="C12" s="21" t="s">
        <v>474</v>
      </c>
    </row>
    <row r="13" spans="2:3" x14ac:dyDescent="0.25">
      <c r="C13" s="21" t="s">
        <v>445</v>
      </c>
    </row>
    <row r="14" spans="2:3" x14ac:dyDescent="0.25">
      <c r="C14" s="21" t="s">
        <v>444</v>
      </c>
    </row>
    <row r="15" spans="2:3" x14ac:dyDescent="0.25">
      <c r="B15" s="21" t="s">
        <v>30</v>
      </c>
      <c r="C15" s="21" t="s">
        <v>31</v>
      </c>
    </row>
    <row r="16" spans="2:3" x14ac:dyDescent="0.25">
      <c r="B16" s="21" t="s">
        <v>32</v>
      </c>
      <c r="C16" s="21" t="s">
        <v>33</v>
      </c>
    </row>
    <row r="17" spans="2:3" x14ac:dyDescent="0.25">
      <c r="B17" s="21" t="s">
        <v>34</v>
      </c>
      <c r="C17" s="21" t="s">
        <v>35</v>
      </c>
    </row>
    <row r="18" spans="2:3" x14ac:dyDescent="0.25">
      <c r="B18" s="21" t="s">
        <v>36</v>
      </c>
      <c r="C18" s="21" t="s">
        <v>37</v>
      </c>
    </row>
    <row r="19" spans="2:3" x14ac:dyDescent="0.25">
      <c r="B19" s="21" t="s">
        <v>38</v>
      </c>
      <c r="C19" s="21" t="s">
        <v>39</v>
      </c>
    </row>
    <row r="20" spans="2:3" x14ac:dyDescent="0.25">
      <c r="B20" s="21" t="s">
        <v>40</v>
      </c>
      <c r="C20" s="21" t="s">
        <v>41</v>
      </c>
    </row>
    <row r="21" spans="2:3" x14ac:dyDescent="0.25">
      <c r="B21" s="21" t="s">
        <v>42</v>
      </c>
      <c r="C21" s="21" t="s">
        <v>43</v>
      </c>
    </row>
    <row r="22" spans="2:3" x14ac:dyDescent="0.25">
      <c r="B22" s="21" t="s">
        <v>44</v>
      </c>
      <c r="C22" s="21" t="s">
        <v>45</v>
      </c>
    </row>
    <row r="23" spans="2:3" x14ac:dyDescent="0.25">
      <c r="B23" s="21" t="s">
        <v>46</v>
      </c>
      <c r="C23" s="21" t="s">
        <v>47</v>
      </c>
    </row>
    <row r="24" spans="2:3" x14ac:dyDescent="0.25">
      <c r="B24" s="21" t="s">
        <v>48</v>
      </c>
      <c r="C24" s="21" t="s">
        <v>49</v>
      </c>
    </row>
    <row r="25" spans="2:3" x14ac:dyDescent="0.25">
      <c r="B25" s="21" t="s">
        <v>50</v>
      </c>
      <c r="C25" s="21" t="s">
        <v>51</v>
      </c>
    </row>
    <row r="26" spans="2:3" x14ac:dyDescent="0.25">
      <c r="B26" s="21" t="s">
        <v>52</v>
      </c>
      <c r="C26" s="21" t="s">
        <v>53</v>
      </c>
    </row>
    <row r="27" spans="2:3" x14ac:dyDescent="0.25">
      <c r="B27" s="21" t="s">
        <v>54</v>
      </c>
      <c r="C27" s="21" t="s">
        <v>55</v>
      </c>
    </row>
    <row r="28" spans="2:3" x14ac:dyDescent="0.25">
      <c r="B28" s="21" t="s">
        <v>56</v>
      </c>
      <c r="C28" s="21" t="s">
        <v>57</v>
      </c>
    </row>
    <row r="29" spans="2:3" x14ac:dyDescent="0.25">
      <c r="B29" s="21" t="s">
        <v>58</v>
      </c>
      <c r="C29" s="21" t="s">
        <v>59</v>
      </c>
    </row>
    <row r="30" spans="2:3" x14ac:dyDescent="0.25">
      <c r="B30" s="21" t="s">
        <v>60</v>
      </c>
      <c r="C30" s="21" t="s">
        <v>61</v>
      </c>
    </row>
    <row r="31" spans="2:3" x14ac:dyDescent="0.25">
      <c r="B31" s="21" t="s">
        <v>62</v>
      </c>
      <c r="C31" s="21" t="s">
        <v>63</v>
      </c>
    </row>
    <row r="32" spans="2:3" x14ac:dyDescent="0.25">
      <c r="B32" s="21" t="s">
        <v>64</v>
      </c>
      <c r="C32" s="21" t="s">
        <v>65</v>
      </c>
    </row>
    <row r="33" spans="2:3" x14ac:dyDescent="0.25">
      <c r="B33" s="21" t="s">
        <v>66</v>
      </c>
      <c r="C33" s="21" t="s">
        <v>67</v>
      </c>
    </row>
    <row r="34" spans="2:3" x14ac:dyDescent="0.25">
      <c r="B34" s="21" t="s">
        <v>68</v>
      </c>
      <c r="C34" s="21" t="s">
        <v>69</v>
      </c>
    </row>
    <row r="35" spans="2:3" x14ac:dyDescent="0.25">
      <c r="B35" s="21" t="s">
        <v>70</v>
      </c>
      <c r="C35" s="21" t="s">
        <v>71</v>
      </c>
    </row>
    <row r="36" spans="2:3" x14ac:dyDescent="0.25">
      <c r="B36" s="21" t="s">
        <v>72</v>
      </c>
      <c r="C36" s="21" t="s">
        <v>73</v>
      </c>
    </row>
    <row r="37" spans="2:3" x14ac:dyDescent="0.25">
      <c r="B37" s="23" t="s">
        <v>422</v>
      </c>
      <c r="C37" s="60" t="s">
        <v>418</v>
      </c>
    </row>
    <row r="38" spans="2:3" x14ac:dyDescent="0.25">
      <c r="B38" s="23"/>
      <c r="C38" s="60" t="s">
        <v>441</v>
      </c>
    </row>
    <row r="39" spans="2:3" x14ac:dyDescent="0.25">
      <c r="B39" s="21" t="s">
        <v>74</v>
      </c>
      <c r="C39" s="21" t="s">
        <v>75</v>
      </c>
    </row>
    <row r="40" spans="2:3" x14ac:dyDescent="0.25">
      <c r="B40" s="21" t="s">
        <v>76</v>
      </c>
      <c r="C40" s="21" t="s">
        <v>77</v>
      </c>
    </row>
    <row r="41" spans="2:3" x14ac:dyDescent="0.25">
      <c r="B41" s="21" t="s">
        <v>78</v>
      </c>
      <c r="C41" s="21" t="s">
        <v>79</v>
      </c>
    </row>
    <row r="42" spans="2:3" x14ac:dyDescent="0.25">
      <c r="B42" s="21" t="s">
        <v>80</v>
      </c>
      <c r="C42" s="21" t="s">
        <v>77</v>
      </c>
    </row>
    <row r="43" spans="2:3" x14ac:dyDescent="0.25">
      <c r="B43" s="21" t="s">
        <v>81</v>
      </c>
      <c r="C43" s="21" t="s">
        <v>77</v>
      </c>
    </row>
    <row r="44" spans="2:3" x14ac:dyDescent="0.25">
      <c r="B44" s="21" t="s">
        <v>82</v>
      </c>
      <c r="C44" s="21" t="s">
        <v>77</v>
      </c>
    </row>
    <row r="45" spans="2:3" x14ac:dyDescent="0.25">
      <c r="B45" s="21" t="s">
        <v>83</v>
      </c>
      <c r="C45" s="21" t="s">
        <v>84</v>
      </c>
    </row>
    <row r="46" spans="2:3" x14ac:dyDescent="0.25">
      <c r="B46" s="21" t="s">
        <v>85</v>
      </c>
      <c r="C46" s="21" t="s">
        <v>86</v>
      </c>
    </row>
    <row r="47" spans="2:3" x14ac:dyDescent="0.25">
      <c r="B47" s="21" t="s">
        <v>87</v>
      </c>
      <c r="C47" s="21" t="s">
        <v>447</v>
      </c>
    </row>
    <row r="48" spans="2:3" x14ac:dyDescent="0.25">
      <c r="B48" s="21" t="s">
        <v>89</v>
      </c>
      <c r="C48" s="21" t="s">
        <v>90</v>
      </c>
    </row>
    <row r="49" spans="2:3" x14ac:dyDescent="0.25">
      <c r="B49" s="21" t="s">
        <v>91</v>
      </c>
      <c r="C49" s="21" t="s">
        <v>92</v>
      </c>
    </row>
    <row r="50" spans="2:3" x14ac:dyDescent="0.25">
      <c r="B50" s="21" t="s">
        <v>93</v>
      </c>
      <c r="C50" s="21" t="s">
        <v>94</v>
      </c>
    </row>
    <row r="51" spans="2:3" x14ac:dyDescent="0.25">
      <c r="B51" s="21" t="s">
        <v>95</v>
      </c>
      <c r="C51" s="21" t="s">
        <v>96</v>
      </c>
    </row>
    <row r="52" spans="2:3" x14ac:dyDescent="0.25">
      <c r="B52" s="21" t="s">
        <v>97</v>
      </c>
      <c r="C52" s="21" t="s">
        <v>98</v>
      </c>
    </row>
    <row r="53" spans="2:3" x14ac:dyDescent="0.25">
      <c r="B53" s="21" t="s">
        <v>99</v>
      </c>
      <c r="C53" s="21" t="s">
        <v>100</v>
      </c>
    </row>
    <row r="54" spans="2:3" x14ac:dyDescent="0.25">
      <c r="B54" s="21" t="s">
        <v>101</v>
      </c>
      <c r="C54" s="21" t="s">
        <v>102</v>
      </c>
    </row>
    <row r="55" spans="2:3" x14ac:dyDescent="0.25">
      <c r="B55" s="21" t="s">
        <v>103</v>
      </c>
      <c r="C55" s="21" t="s">
        <v>104</v>
      </c>
    </row>
    <row r="56" spans="2:3" x14ac:dyDescent="0.25">
      <c r="B56" s="21" t="s">
        <v>105</v>
      </c>
      <c r="C56" s="21" t="s">
        <v>106</v>
      </c>
    </row>
    <row r="57" spans="2:3" x14ac:dyDescent="0.25">
      <c r="B57" s="21" t="s">
        <v>107</v>
      </c>
      <c r="C57" s="21" t="s">
        <v>108</v>
      </c>
    </row>
    <row r="58" spans="2:3" x14ac:dyDescent="0.25">
      <c r="B58" s="21" t="s">
        <v>109</v>
      </c>
      <c r="C58" s="21" t="s">
        <v>110</v>
      </c>
    </row>
    <row r="59" spans="2:3" x14ac:dyDescent="0.25">
      <c r="B59" s="21" t="s">
        <v>111</v>
      </c>
      <c r="C59" s="21" t="s">
        <v>112</v>
      </c>
    </row>
    <row r="60" spans="2:3" x14ac:dyDescent="0.25">
      <c r="B60" s="21" t="s">
        <v>113</v>
      </c>
      <c r="C60" s="21" t="s">
        <v>114</v>
      </c>
    </row>
    <row r="61" spans="2:3" x14ac:dyDescent="0.25">
      <c r="B61" s="21" t="s">
        <v>115</v>
      </c>
      <c r="C61" s="21" t="s">
        <v>116</v>
      </c>
    </row>
    <row r="62" spans="2:3" x14ac:dyDescent="0.25">
      <c r="B62" s="21" t="s">
        <v>117</v>
      </c>
      <c r="C62" s="21" t="s">
        <v>118</v>
      </c>
    </row>
    <row r="63" spans="2:3" x14ac:dyDescent="0.25">
      <c r="B63" s="21" t="s">
        <v>83</v>
      </c>
      <c r="C63" s="21" t="s">
        <v>119</v>
      </c>
    </row>
    <row r="64" spans="2:3" x14ac:dyDescent="0.25">
      <c r="B64" s="21" t="s">
        <v>120</v>
      </c>
      <c r="C64" s="21" t="s">
        <v>121</v>
      </c>
    </row>
    <row r="65" spans="2:3" x14ac:dyDescent="0.25">
      <c r="B65" s="21" t="s">
        <v>122</v>
      </c>
      <c r="C65" s="21" t="s">
        <v>123</v>
      </c>
    </row>
    <row r="66" spans="2:3" x14ac:dyDescent="0.25">
      <c r="B66" s="21" t="s">
        <v>124</v>
      </c>
      <c r="C66" s="21" t="s">
        <v>125</v>
      </c>
    </row>
    <row r="67" spans="2:3" x14ac:dyDescent="0.25">
      <c r="B67" s="21" t="s">
        <v>126</v>
      </c>
      <c r="C67" s="21" t="s">
        <v>127</v>
      </c>
    </row>
    <row r="68" spans="2:3" x14ac:dyDescent="0.25">
      <c r="B68" s="21" t="s">
        <v>128</v>
      </c>
      <c r="C68" s="21" t="s">
        <v>129</v>
      </c>
    </row>
    <row r="69" spans="2:3" x14ac:dyDescent="0.25">
      <c r="B69" s="21" t="s">
        <v>130</v>
      </c>
      <c r="C69" s="21" t="s">
        <v>131</v>
      </c>
    </row>
    <row r="70" spans="2:3" x14ac:dyDescent="0.25">
      <c r="B70" s="21" t="s">
        <v>132</v>
      </c>
      <c r="C70" s="21" t="s">
        <v>133</v>
      </c>
    </row>
    <row r="71" spans="2:3" x14ac:dyDescent="0.25">
      <c r="B71" s="21" t="s">
        <v>134</v>
      </c>
      <c r="C71" s="21" t="s">
        <v>135</v>
      </c>
    </row>
    <row r="72" spans="2:3" x14ac:dyDescent="0.25">
      <c r="B72" s="21" t="s">
        <v>136</v>
      </c>
      <c r="C72" s="21" t="s">
        <v>137</v>
      </c>
    </row>
    <row r="73" spans="2:3" x14ac:dyDescent="0.25">
      <c r="B73" s="21" t="s">
        <v>138</v>
      </c>
      <c r="C73" s="21" t="s">
        <v>139</v>
      </c>
    </row>
    <row r="74" spans="2:3" x14ac:dyDescent="0.25">
      <c r="B74" s="21" t="s">
        <v>140</v>
      </c>
      <c r="C74" s="21" t="s">
        <v>141</v>
      </c>
    </row>
    <row r="75" spans="2:3" x14ac:dyDescent="0.25">
      <c r="B75" s="21" t="s">
        <v>142</v>
      </c>
      <c r="C75" s="21" t="s">
        <v>143</v>
      </c>
    </row>
    <row r="76" spans="2:3" x14ac:dyDescent="0.25">
      <c r="B76" s="21" t="s">
        <v>144</v>
      </c>
      <c r="C76" s="21" t="s">
        <v>145</v>
      </c>
    </row>
    <row r="77" spans="2:3" x14ac:dyDescent="0.25">
      <c r="B77" s="21" t="s">
        <v>146</v>
      </c>
      <c r="C77" s="21" t="s">
        <v>147</v>
      </c>
    </row>
    <row r="78" spans="2:3" x14ac:dyDescent="0.25">
      <c r="B78" s="21" t="s">
        <v>148</v>
      </c>
      <c r="C78" s="21" t="s">
        <v>149</v>
      </c>
    </row>
    <row r="79" spans="2:3" x14ac:dyDescent="0.25">
      <c r="B79" s="21" t="s">
        <v>150</v>
      </c>
      <c r="C79" s="21" t="s">
        <v>151</v>
      </c>
    </row>
    <row r="80" spans="2:3" x14ac:dyDescent="0.25">
      <c r="B80" s="21" t="s">
        <v>152</v>
      </c>
      <c r="C80" s="21" t="s">
        <v>153</v>
      </c>
    </row>
    <row r="81" spans="2:3" x14ac:dyDescent="0.25">
      <c r="B81" s="21" t="s">
        <v>154</v>
      </c>
      <c r="C81" s="21" t="s">
        <v>155</v>
      </c>
    </row>
    <row r="82" spans="2:3" x14ac:dyDescent="0.25">
      <c r="B82" s="21" t="s">
        <v>156</v>
      </c>
      <c r="C82" s="21" t="s">
        <v>157</v>
      </c>
    </row>
    <row r="83" spans="2:3" x14ac:dyDescent="0.25">
      <c r="B83" s="21" t="s">
        <v>158</v>
      </c>
      <c r="C83" s="21" t="s">
        <v>159</v>
      </c>
    </row>
    <row r="84" spans="2:3" x14ac:dyDescent="0.25">
      <c r="B84" s="21" t="s">
        <v>160</v>
      </c>
      <c r="C84" s="21" t="s">
        <v>161</v>
      </c>
    </row>
    <row r="85" spans="2:3" x14ac:dyDescent="0.25">
      <c r="B85" s="21" t="s">
        <v>162</v>
      </c>
      <c r="C85" s="21" t="s">
        <v>163</v>
      </c>
    </row>
    <row r="86" spans="2:3" x14ac:dyDescent="0.25">
      <c r="B86" s="21" t="s">
        <v>164</v>
      </c>
      <c r="C86" s="21" t="s">
        <v>165</v>
      </c>
    </row>
    <row r="87" spans="2:3" x14ac:dyDescent="0.25">
      <c r="B87" s="21" t="s">
        <v>166</v>
      </c>
      <c r="C87" s="21" t="s">
        <v>167</v>
      </c>
    </row>
    <row r="88" spans="2:3" x14ac:dyDescent="0.25">
      <c r="B88" s="21" t="s">
        <v>168</v>
      </c>
      <c r="C88" s="21" t="s">
        <v>169</v>
      </c>
    </row>
    <row r="89" spans="2:3" x14ac:dyDescent="0.25">
      <c r="B89" s="21" t="s">
        <v>170</v>
      </c>
      <c r="C89" s="21" t="s">
        <v>171</v>
      </c>
    </row>
    <row r="90" spans="2:3" x14ac:dyDescent="0.25">
      <c r="B90" s="21" t="s">
        <v>172</v>
      </c>
      <c r="C90" s="21" t="s">
        <v>173</v>
      </c>
    </row>
    <row r="91" spans="2:3" x14ac:dyDescent="0.25">
      <c r="B91" s="21" t="s">
        <v>174</v>
      </c>
      <c r="C91" s="21" t="s">
        <v>175</v>
      </c>
    </row>
    <row r="92" spans="2:3" x14ac:dyDescent="0.25">
      <c r="B92" s="21" t="s">
        <v>176</v>
      </c>
      <c r="C92" s="21" t="s">
        <v>177</v>
      </c>
    </row>
    <row r="93" spans="2:3" x14ac:dyDescent="0.25">
      <c r="B93" s="21" t="s">
        <v>178</v>
      </c>
      <c r="C93" s="21" t="s">
        <v>179</v>
      </c>
    </row>
    <row r="94" spans="2:3" x14ac:dyDescent="0.25">
      <c r="B94" s="21" t="s">
        <v>180</v>
      </c>
      <c r="C94" s="21" t="s">
        <v>181</v>
      </c>
    </row>
    <row r="95" spans="2:3" x14ac:dyDescent="0.25">
      <c r="B95" s="21" t="s">
        <v>182</v>
      </c>
      <c r="C95" s="21" t="s">
        <v>183</v>
      </c>
    </row>
    <row r="96" spans="2:3" x14ac:dyDescent="0.25">
      <c r="B96" s="21" t="s">
        <v>184</v>
      </c>
      <c r="C96" s="21" t="s">
        <v>185</v>
      </c>
    </row>
    <row r="97" spans="2:3" x14ac:dyDescent="0.25">
      <c r="B97" s="21" t="s">
        <v>186</v>
      </c>
      <c r="C97" s="21" t="s">
        <v>187</v>
      </c>
    </row>
    <row r="98" spans="2:3" x14ac:dyDescent="0.25">
      <c r="B98" s="21" t="s">
        <v>188</v>
      </c>
      <c r="C98" s="21" t="s">
        <v>189</v>
      </c>
    </row>
    <row r="99" spans="2:3" x14ac:dyDescent="0.25">
      <c r="B99" s="21" t="s">
        <v>190</v>
      </c>
      <c r="C99" s="21" t="s">
        <v>191</v>
      </c>
    </row>
    <row r="100" spans="2:3" x14ac:dyDescent="0.25">
      <c r="B100" s="21" t="s">
        <v>192</v>
      </c>
      <c r="C100" s="21" t="s">
        <v>193</v>
      </c>
    </row>
    <row r="101" spans="2:3" x14ac:dyDescent="0.25">
      <c r="B101" s="21" t="s">
        <v>194</v>
      </c>
      <c r="C101" s="21" t="s">
        <v>195</v>
      </c>
    </row>
    <row r="102" spans="2:3" x14ac:dyDescent="0.25">
      <c r="B102" s="21" t="s">
        <v>196</v>
      </c>
      <c r="C102" s="21" t="s">
        <v>197</v>
      </c>
    </row>
    <row r="103" spans="2:3" x14ac:dyDescent="0.25">
      <c r="B103" s="21" t="s">
        <v>198</v>
      </c>
      <c r="C103" s="21" t="s">
        <v>199</v>
      </c>
    </row>
    <row r="104" spans="2:3" x14ac:dyDescent="0.25">
      <c r="B104" s="21" t="s">
        <v>200</v>
      </c>
      <c r="C104" s="21" t="s">
        <v>201</v>
      </c>
    </row>
    <row r="105" spans="2:3" x14ac:dyDescent="0.25">
      <c r="B105" s="21" t="s">
        <v>202</v>
      </c>
      <c r="C105" s="21" t="s">
        <v>203</v>
      </c>
    </row>
    <row r="106" spans="2:3" x14ac:dyDescent="0.25">
      <c r="B106" s="21" t="s">
        <v>204</v>
      </c>
      <c r="C106" s="21" t="s">
        <v>205</v>
      </c>
    </row>
    <row r="107" spans="2:3" x14ac:dyDescent="0.25">
      <c r="B107" s="21" t="s">
        <v>206</v>
      </c>
      <c r="C107" s="21" t="s">
        <v>207</v>
      </c>
    </row>
    <row r="108" spans="2:3" x14ac:dyDescent="0.25">
      <c r="B108" s="21" t="s">
        <v>208</v>
      </c>
      <c r="C108" s="21" t="s">
        <v>209</v>
      </c>
    </row>
    <row r="109" spans="2:3" x14ac:dyDescent="0.25">
      <c r="B109" s="21" t="s">
        <v>210</v>
      </c>
      <c r="C109" s="21" t="s">
        <v>211</v>
      </c>
    </row>
    <row r="110" spans="2:3" x14ac:dyDescent="0.25">
      <c r="C110" s="21" t="s">
        <v>485</v>
      </c>
    </row>
    <row r="111" spans="2:3" x14ac:dyDescent="0.25">
      <c r="B111" s="21" t="s">
        <v>212</v>
      </c>
      <c r="C111" s="21" t="s">
        <v>213</v>
      </c>
    </row>
    <row r="112" spans="2:3" x14ac:dyDescent="0.25">
      <c r="B112" s="21" t="s">
        <v>214</v>
      </c>
      <c r="C112" s="21" t="s">
        <v>215</v>
      </c>
    </row>
    <row r="113" spans="2:3" x14ac:dyDescent="0.25">
      <c r="B113" s="21" t="s">
        <v>216</v>
      </c>
      <c r="C113" s="21" t="s">
        <v>217</v>
      </c>
    </row>
    <row r="114" spans="2:3" x14ac:dyDescent="0.25">
      <c r="B114" s="21" t="s">
        <v>218</v>
      </c>
      <c r="C114" s="21" t="s">
        <v>219</v>
      </c>
    </row>
    <row r="115" spans="2:3" x14ac:dyDescent="0.25">
      <c r="B115" s="21" t="s">
        <v>220</v>
      </c>
      <c r="C115" s="21" t="s">
        <v>221</v>
      </c>
    </row>
    <row r="116" spans="2:3" x14ac:dyDescent="0.25">
      <c r="B116" s="21" t="s">
        <v>222</v>
      </c>
      <c r="C116" s="21" t="s">
        <v>223</v>
      </c>
    </row>
    <row r="117" spans="2:3" x14ac:dyDescent="0.25">
      <c r="C117" s="21" t="s">
        <v>235</v>
      </c>
    </row>
    <row r="118" spans="2:3" x14ac:dyDescent="0.25">
      <c r="B118" s="21" t="s">
        <v>224</v>
      </c>
      <c r="C118" s="21" t="s">
        <v>225</v>
      </c>
    </row>
    <row r="119" spans="2:3" x14ac:dyDescent="0.25">
      <c r="B119" s="21" t="s">
        <v>226</v>
      </c>
      <c r="C119" s="21" t="s">
        <v>227</v>
      </c>
    </row>
    <row r="120" spans="2:3" x14ac:dyDescent="0.25">
      <c r="B120" s="21" t="s">
        <v>228</v>
      </c>
      <c r="C120" s="21" t="s">
        <v>229</v>
      </c>
    </row>
    <row r="121" spans="2:3" x14ac:dyDescent="0.25">
      <c r="B121" s="21" t="s">
        <v>230</v>
      </c>
      <c r="C121" s="21" t="s">
        <v>231</v>
      </c>
    </row>
    <row r="122" spans="2:3" x14ac:dyDescent="0.25">
      <c r="B122" s="21" t="s">
        <v>232</v>
      </c>
      <c r="C122" s="21" t="s">
        <v>233</v>
      </c>
    </row>
    <row r="123" spans="2:3" x14ac:dyDescent="0.25">
      <c r="B123" s="21" t="s">
        <v>234</v>
      </c>
      <c r="C123" s="21" t="s">
        <v>235</v>
      </c>
    </row>
    <row r="124" spans="2:3" x14ac:dyDescent="0.25">
      <c r="B124" s="21" t="s">
        <v>236</v>
      </c>
      <c r="C124" s="21" t="s">
        <v>237</v>
      </c>
    </row>
    <row r="125" spans="2:3" x14ac:dyDescent="0.25">
      <c r="B125" s="21" t="s">
        <v>238</v>
      </c>
      <c r="C125" s="21" t="s">
        <v>239</v>
      </c>
    </row>
    <row r="126" spans="2:3" x14ac:dyDescent="0.25">
      <c r="B126" s="21" t="s">
        <v>240</v>
      </c>
      <c r="C126" s="21" t="s">
        <v>241</v>
      </c>
    </row>
    <row r="127" spans="2:3" x14ac:dyDescent="0.25">
      <c r="B127" s="21" t="s">
        <v>242</v>
      </c>
      <c r="C127" s="21" t="s">
        <v>243</v>
      </c>
    </row>
    <row r="128" spans="2:3" x14ac:dyDescent="0.25">
      <c r="B128" s="21" t="s">
        <v>244</v>
      </c>
      <c r="C128" s="21" t="s">
        <v>245</v>
      </c>
    </row>
    <row r="129" spans="2:3" x14ac:dyDescent="0.25">
      <c r="B129" s="21" t="s">
        <v>246</v>
      </c>
      <c r="C129" s="21" t="s">
        <v>247</v>
      </c>
    </row>
    <row r="130" spans="2:3" x14ac:dyDescent="0.25">
      <c r="B130" s="21" t="s">
        <v>248</v>
      </c>
      <c r="C130" s="21" t="s">
        <v>249</v>
      </c>
    </row>
    <row r="131" spans="2:3" x14ac:dyDescent="0.25">
      <c r="B131" s="21" t="s">
        <v>250</v>
      </c>
      <c r="C131" s="21" t="s">
        <v>251</v>
      </c>
    </row>
    <row r="132" spans="2:3" x14ac:dyDescent="0.25">
      <c r="B132" s="21" t="s">
        <v>252</v>
      </c>
      <c r="C132" s="21" t="s">
        <v>253</v>
      </c>
    </row>
    <row r="133" spans="2:3" x14ac:dyDescent="0.25">
      <c r="B133" s="21" t="s">
        <v>254</v>
      </c>
      <c r="C133" s="21" t="s">
        <v>255</v>
      </c>
    </row>
    <row r="134" spans="2:3" x14ac:dyDescent="0.25">
      <c r="B134" s="21" t="s">
        <v>256</v>
      </c>
      <c r="C134" s="21" t="s">
        <v>257</v>
      </c>
    </row>
    <row r="135" spans="2:3" x14ac:dyDescent="0.25">
      <c r="B135" s="21" t="s">
        <v>258</v>
      </c>
      <c r="C135" s="21" t="s">
        <v>259</v>
      </c>
    </row>
    <row r="136" spans="2:3" x14ac:dyDescent="0.25">
      <c r="B136" s="21" t="s">
        <v>260</v>
      </c>
      <c r="C136" s="21" t="s">
        <v>261</v>
      </c>
    </row>
    <row r="137" spans="2:3" x14ac:dyDescent="0.25">
      <c r="B137" s="21" t="s">
        <v>262</v>
      </c>
      <c r="C137" s="21" t="s">
        <v>263</v>
      </c>
    </row>
    <row r="138" spans="2:3" x14ac:dyDescent="0.25">
      <c r="B138" s="21" t="s">
        <v>264</v>
      </c>
      <c r="C138" s="21" t="s">
        <v>265</v>
      </c>
    </row>
    <row r="139" spans="2:3" x14ac:dyDescent="0.25">
      <c r="B139" s="21" t="s">
        <v>266</v>
      </c>
      <c r="C139" s="21" t="s">
        <v>267</v>
      </c>
    </row>
    <row r="140" spans="2:3" x14ac:dyDescent="0.25">
      <c r="B140" s="21" t="s">
        <v>268</v>
      </c>
      <c r="C140" s="21" t="s">
        <v>269</v>
      </c>
    </row>
    <row r="141" spans="2:3" x14ac:dyDescent="0.25">
      <c r="B141" s="21" t="s">
        <v>270</v>
      </c>
      <c r="C141" s="21" t="s">
        <v>271</v>
      </c>
    </row>
    <row r="142" spans="2:3" x14ac:dyDescent="0.25">
      <c r="B142" s="21" t="s">
        <v>272</v>
      </c>
      <c r="C142" s="21" t="s">
        <v>273</v>
      </c>
    </row>
    <row r="143" spans="2:3" x14ac:dyDescent="0.25">
      <c r="B143" s="21" t="s">
        <v>274</v>
      </c>
      <c r="C143" s="21" t="s">
        <v>275</v>
      </c>
    </row>
    <row r="144" spans="2:3" x14ac:dyDescent="0.25">
      <c r="B144" s="21" t="s">
        <v>276</v>
      </c>
      <c r="C144" s="21" t="s">
        <v>277</v>
      </c>
    </row>
    <row r="145" spans="2:3" x14ac:dyDescent="0.25">
      <c r="B145" s="21" t="s">
        <v>278</v>
      </c>
      <c r="C145" s="21" t="s">
        <v>279</v>
      </c>
    </row>
    <row r="146" spans="2:3" x14ac:dyDescent="0.25">
      <c r="B146" s="21" t="s">
        <v>280</v>
      </c>
      <c r="C146" s="21" t="s">
        <v>281</v>
      </c>
    </row>
    <row r="147" spans="2:3" x14ac:dyDescent="0.25">
      <c r="B147" s="21" t="s">
        <v>282</v>
      </c>
      <c r="C147" s="21" t="s">
        <v>283</v>
      </c>
    </row>
    <row r="148" spans="2:3" x14ac:dyDescent="0.25">
      <c r="B148" s="21" t="s">
        <v>284</v>
      </c>
      <c r="C148" s="21" t="s">
        <v>285</v>
      </c>
    </row>
    <row r="149" spans="2:3" x14ac:dyDescent="0.25">
      <c r="B149" s="21" t="s">
        <v>286</v>
      </c>
      <c r="C149" s="21" t="s">
        <v>287</v>
      </c>
    </row>
    <row r="150" spans="2:3" x14ac:dyDescent="0.25">
      <c r="B150" s="21" t="s">
        <v>288</v>
      </c>
      <c r="C150" s="21" t="s">
        <v>289</v>
      </c>
    </row>
    <row r="151" spans="2:3" x14ac:dyDescent="0.25">
      <c r="B151" s="21" t="s">
        <v>290</v>
      </c>
      <c r="C151" s="21" t="s">
        <v>291</v>
      </c>
    </row>
    <row r="152" spans="2:3" x14ac:dyDescent="0.25">
      <c r="B152" s="21" t="s">
        <v>292</v>
      </c>
      <c r="C152" s="21" t="s">
        <v>293</v>
      </c>
    </row>
    <row r="153" spans="2:3" x14ac:dyDescent="0.25">
      <c r="B153" s="21" t="s">
        <v>294</v>
      </c>
      <c r="C153" s="21" t="s">
        <v>295</v>
      </c>
    </row>
    <row r="154" spans="2:3" x14ac:dyDescent="0.25">
      <c r="B154" s="21" t="s">
        <v>296</v>
      </c>
      <c r="C154" s="21" t="s">
        <v>297</v>
      </c>
    </row>
    <row r="155" spans="2:3" x14ac:dyDescent="0.25">
      <c r="B155" s="21" t="s">
        <v>298</v>
      </c>
      <c r="C155" s="21" t="s">
        <v>299</v>
      </c>
    </row>
    <row r="156" spans="2:3" x14ac:dyDescent="0.25">
      <c r="B156" s="21" t="s">
        <v>300</v>
      </c>
      <c r="C156" s="21" t="s">
        <v>301</v>
      </c>
    </row>
    <row r="157" spans="2:3" x14ac:dyDescent="0.25">
      <c r="B157" s="21" t="s">
        <v>302</v>
      </c>
      <c r="C157" s="21" t="s">
        <v>303</v>
      </c>
    </row>
    <row r="158" spans="2:3" x14ac:dyDescent="0.25">
      <c r="B158" s="21" t="s">
        <v>304</v>
      </c>
      <c r="C158" s="21" t="s">
        <v>305</v>
      </c>
    </row>
    <row r="159" spans="2:3" x14ac:dyDescent="0.25">
      <c r="B159" s="21" t="s">
        <v>306</v>
      </c>
      <c r="C159" s="21" t="s">
        <v>307</v>
      </c>
    </row>
    <row r="160" spans="2:3" x14ac:dyDescent="0.25">
      <c r="B160" s="21" t="s">
        <v>308</v>
      </c>
      <c r="C160" s="21" t="s">
        <v>309</v>
      </c>
    </row>
    <row r="161" spans="2:3" x14ac:dyDescent="0.25">
      <c r="B161" s="21" t="s">
        <v>310</v>
      </c>
      <c r="C161" s="21" t="s">
        <v>311</v>
      </c>
    </row>
    <row r="162" spans="2:3" x14ac:dyDescent="0.25">
      <c r="B162" s="21" t="s">
        <v>312</v>
      </c>
      <c r="C162" s="21" t="s">
        <v>313</v>
      </c>
    </row>
    <row r="163" spans="2:3" x14ac:dyDescent="0.25">
      <c r="B163" s="21" t="s">
        <v>314</v>
      </c>
      <c r="C163" s="21" t="s">
        <v>315</v>
      </c>
    </row>
    <row r="164" spans="2:3" x14ac:dyDescent="0.25">
      <c r="B164" s="21" t="s">
        <v>316</v>
      </c>
      <c r="C164" s="21" t="s">
        <v>317</v>
      </c>
    </row>
    <row r="165" spans="2:3" x14ac:dyDescent="0.25">
      <c r="B165" s="21" t="s">
        <v>318</v>
      </c>
      <c r="C165" s="21" t="s">
        <v>319</v>
      </c>
    </row>
    <row r="166" spans="2:3" x14ac:dyDescent="0.25">
      <c r="B166" s="21" t="s">
        <v>320</v>
      </c>
      <c r="C166" s="21" t="s">
        <v>321</v>
      </c>
    </row>
    <row r="167" spans="2:3" x14ac:dyDescent="0.25">
      <c r="B167" s="21" t="s">
        <v>322</v>
      </c>
      <c r="C167" s="21" t="s">
        <v>323</v>
      </c>
    </row>
    <row r="168" spans="2:3" x14ac:dyDescent="0.25">
      <c r="B168" s="21" t="s">
        <v>324</v>
      </c>
      <c r="C168" s="21" t="s">
        <v>325</v>
      </c>
    </row>
    <row r="169" spans="2:3" x14ac:dyDescent="0.25">
      <c r="B169" s="21" t="s">
        <v>326</v>
      </c>
      <c r="C169" s="21" t="s">
        <v>327</v>
      </c>
    </row>
    <row r="170" spans="2:3" x14ac:dyDescent="0.25">
      <c r="B170" s="21" t="s">
        <v>328</v>
      </c>
      <c r="C170" s="21" t="s">
        <v>329</v>
      </c>
    </row>
    <row r="171" spans="2:3" x14ac:dyDescent="0.25">
      <c r="B171" s="21" t="s">
        <v>330</v>
      </c>
      <c r="C171" s="21" t="s">
        <v>331</v>
      </c>
    </row>
    <row r="172" spans="2:3" x14ac:dyDescent="0.25">
      <c r="B172" s="21" t="s">
        <v>332</v>
      </c>
      <c r="C172" s="21" t="s">
        <v>333</v>
      </c>
    </row>
    <row r="173" spans="2:3" x14ac:dyDescent="0.25">
      <c r="B173" s="21" t="s">
        <v>334</v>
      </c>
      <c r="C173" s="21" t="s">
        <v>335</v>
      </c>
    </row>
    <row r="174" spans="2:3" x14ac:dyDescent="0.25">
      <c r="B174" s="21" t="s">
        <v>336</v>
      </c>
      <c r="C174" s="21" t="s">
        <v>337</v>
      </c>
    </row>
    <row r="175" spans="2:3" x14ac:dyDescent="0.25">
      <c r="B175" s="21" t="s">
        <v>338</v>
      </c>
      <c r="C175" s="21" t="s">
        <v>339</v>
      </c>
    </row>
    <row r="176" spans="2:3" x14ac:dyDescent="0.25">
      <c r="B176" s="21" t="s">
        <v>340</v>
      </c>
      <c r="C176" s="21" t="s">
        <v>341</v>
      </c>
    </row>
    <row r="177" spans="2:9" x14ac:dyDescent="0.25">
      <c r="B177" s="21" t="s">
        <v>342</v>
      </c>
      <c r="C177" s="21" t="s">
        <v>343</v>
      </c>
    </row>
    <row r="178" spans="2:9" x14ac:dyDescent="0.25">
      <c r="B178" s="21" t="s">
        <v>344</v>
      </c>
      <c r="C178" s="21" t="s">
        <v>345</v>
      </c>
    </row>
    <row r="180" spans="2:9" x14ac:dyDescent="0.25">
      <c r="C180" s="21" t="s">
        <v>346</v>
      </c>
      <c r="D180" s="22" t="s">
        <v>388</v>
      </c>
      <c r="E180" s="21" t="s">
        <v>387</v>
      </c>
    </row>
    <row r="181" spans="2:9" x14ac:dyDescent="0.25">
      <c r="C181" s="21" t="s">
        <v>347</v>
      </c>
      <c r="D181" s="22" t="s">
        <v>386</v>
      </c>
      <c r="E181" s="21" t="s">
        <v>385</v>
      </c>
      <c r="H181" s="22" t="s">
        <v>384</v>
      </c>
      <c r="I181" s="21" t="s">
        <v>383</v>
      </c>
    </row>
    <row r="182" spans="2:9" x14ac:dyDescent="0.25">
      <c r="C182" s="21" t="s">
        <v>348</v>
      </c>
      <c r="D182" s="22" t="s">
        <v>364</v>
      </c>
      <c r="E182" s="21" t="s">
        <v>363</v>
      </c>
      <c r="H182" s="22" t="s">
        <v>376</v>
      </c>
      <c r="I182" s="21" t="s">
        <v>375</v>
      </c>
    </row>
    <row r="183" spans="2:9" x14ac:dyDescent="0.25">
      <c r="C183" s="21" t="s">
        <v>10</v>
      </c>
    </row>
    <row r="184" spans="2:9" x14ac:dyDescent="0.25">
      <c r="C184" s="21" t="s">
        <v>400</v>
      </c>
    </row>
    <row r="185" spans="2:9" x14ac:dyDescent="0.25">
      <c r="C185" s="21" t="s">
        <v>349</v>
      </c>
      <c r="D185" s="22" t="s">
        <v>364</v>
      </c>
      <c r="E185" s="21" t="s">
        <v>363</v>
      </c>
      <c r="H185" s="22" t="s">
        <v>377</v>
      </c>
      <c r="I185" s="21" t="s">
        <v>373</v>
      </c>
    </row>
    <row r="186" spans="2:9" x14ac:dyDescent="0.25">
      <c r="C186" s="21" t="s">
        <v>9</v>
      </c>
      <c r="D186" s="23" t="s">
        <v>403</v>
      </c>
      <c r="E186" s="21" t="s">
        <v>385</v>
      </c>
      <c r="H186" s="22" t="s">
        <v>374</v>
      </c>
      <c r="I186" s="21" t="s">
        <v>373</v>
      </c>
    </row>
    <row r="187" spans="2:9" x14ac:dyDescent="0.25">
      <c r="C187" s="21" t="s">
        <v>350</v>
      </c>
      <c r="D187" s="22" t="s">
        <v>364</v>
      </c>
      <c r="E187" s="21" t="s">
        <v>363</v>
      </c>
      <c r="H187" s="22" t="s">
        <v>391</v>
      </c>
      <c r="I187" s="21" t="s">
        <v>389</v>
      </c>
    </row>
    <row r="188" spans="2:9" x14ac:dyDescent="0.25">
      <c r="C188" s="21" t="s">
        <v>351</v>
      </c>
      <c r="D188" s="22" t="s">
        <v>364</v>
      </c>
      <c r="E188" s="21" t="s">
        <v>363</v>
      </c>
      <c r="H188" s="22" t="s">
        <v>390</v>
      </c>
      <c r="I188" s="21" t="s">
        <v>389</v>
      </c>
    </row>
    <row r="189" spans="2:9" x14ac:dyDescent="0.25">
      <c r="C189" s="21" t="s">
        <v>12</v>
      </c>
      <c r="D189" s="22" t="s">
        <v>366</v>
      </c>
      <c r="E189" s="21" t="s">
        <v>365</v>
      </c>
      <c r="H189" s="22" t="s">
        <v>370</v>
      </c>
      <c r="I189" s="21" t="s">
        <v>369</v>
      </c>
    </row>
    <row r="190" spans="2:9" x14ac:dyDescent="0.25">
      <c r="C190" s="21" t="s">
        <v>352</v>
      </c>
      <c r="D190" s="22" t="s">
        <v>388</v>
      </c>
      <c r="E190" s="21" t="s">
        <v>387</v>
      </c>
      <c r="H190" s="22" t="s">
        <v>368</v>
      </c>
      <c r="I190" s="21" t="s">
        <v>367</v>
      </c>
    </row>
    <row r="191" spans="2:9" x14ac:dyDescent="0.25">
      <c r="C191" s="21" t="s">
        <v>13</v>
      </c>
      <c r="D191" s="22" t="s">
        <v>388</v>
      </c>
      <c r="E191" s="21" t="s">
        <v>387</v>
      </c>
    </row>
    <row r="192" spans="2:9" x14ac:dyDescent="0.25">
      <c r="C192" s="21" t="s">
        <v>11</v>
      </c>
      <c r="D192" s="22" t="s">
        <v>386</v>
      </c>
      <c r="E192" s="21" t="s">
        <v>385</v>
      </c>
      <c r="H192" s="22" t="s">
        <v>362</v>
      </c>
      <c r="I192" s="21" t="s">
        <v>360</v>
      </c>
    </row>
    <row r="193" spans="3:9" x14ac:dyDescent="0.25">
      <c r="C193" s="21" t="s">
        <v>353</v>
      </c>
      <c r="D193" s="24" t="s">
        <v>402</v>
      </c>
      <c r="E193" s="21" t="s">
        <v>363</v>
      </c>
      <c r="H193" s="22" t="s">
        <v>361</v>
      </c>
      <c r="I193" s="21" t="s">
        <v>360</v>
      </c>
    </row>
    <row r="194" spans="3:9" x14ac:dyDescent="0.25">
      <c r="C194" s="21" t="s">
        <v>354</v>
      </c>
      <c r="D194" s="22" t="s">
        <v>386</v>
      </c>
      <c r="E194" s="21" t="s">
        <v>385</v>
      </c>
      <c r="H194" s="22" t="s">
        <v>380</v>
      </c>
      <c r="I194" s="21" t="s">
        <v>360</v>
      </c>
    </row>
    <row r="195" spans="3:9" x14ac:dyDescent="0.25">
      <c r="C195" s="21" t="s">
        <v>355</v>
      </c>
      <c r="D195" s="24" t="s">
        <v>405</v>
      </c>
      <c r="E195" s="21" t="s">
        <v>407</v>
      </c>
      <c r="H195" s="22" t="s">
        <v>379</v>
      </c>
      <c r="I195" s="21" t="s">
        <v>378</v>
      </c>
    </row>
    <row r="196" spans="3:9" x14ac:dyDescent="0.25">
      <c r="C196" s="21" t="s">
        <v>356</v>
      </c>
      <c r="D196" s="23" t="s">
        <v>403</v>
      </c>
      <c r="E196" s="21" t="s">
        <v>385</v>
      </c>
      <c r="H196" s="22" t="s">
        <v>382</v>
      </c>
      <c r="I196" s="21" t="s">
        <v>381</v>
      </c>
    </row>
    <row r="197" spans="3:9" x14ac:dyDescent="0.25">
      <c r="C197" s="21" t="s">
        <v>357</v>
      </c>
      <c r="D197" s="24" t="s">
        <v>404</v>
      </c>
      <c r="E197" s="21" t="s">
        <v>406</v>
      </c>
      <c r="H197" s="22" t="s">
        <v>372</v>
      </c>
      <c r="I197" s="21" t="s">
        <v>371</v>
      </c>
    </row>
    <row r="198" spans="3:9" x14ac:dyDescent="0.25">
      <c r="C198" s="21" t="s">
        <v>8</v>
      </c>
      <c r="D198" s="22" t="s">
        <v>386</v>
      </c>
      <c r="E198" s="21" t="s">
        <v>385</v>
      </c>
      <c r="H198" s="22"/>
    </row>
    <row r="199" spans="3:9" x14ac:dyDescent="0.25">
      <c r="C199" s="21" t="s">
        <v>358</v>
      </c>
      <c r="D199" s="22" t="s">
        <v>388</v>
      </c>
      <c r="E199" s="21" t="s">
        <v>387</v>
      </c>
      <c r="H199" s="22"/>
    </row>
    <row r="200" spans="3:9" x14ac:dyDescent="0.25">
      <c r="C200" s="21" t="s">
        <v>359</v>
      </c>
      <c r="D200" s="22" t="s">
        <v>386</v>
      </c>
      <c r="E200" s="21" t="s">
        <v>385</v>
      </c>
    </row>
  </sheetData>
  <autoFilter ref="B2:C178"/>
  <sortState ref="H175:I194">
    <sortCondition ref="H175:H194"/>
  </sortState>
  <pageMargins left="0.51181102362204722" right="0" top="0" bottom="0" header="0" footer="0"/>
  <pageSetup paperSize="9" scale="150" orientation="landscape" r:id="rId1"/>
  <rowBreaks count="1" manualBreakCount="1">
    <brk id="17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2">
    <pageSetUpPr fitToPage="1"/>
  </sheetPr>
  <dimension ref="B1:R233"/>
  <sheetViews>
    <sheetView showGridLines="0" tabSelected="1" view="pageBreakPreview" zoomScale="130" zoomScaleNormal="100" zoomScaleSheetLayoutView="130" workbookViewId="0">
      <selection activeCell="D184" sqref="D184:I184"/>
    </sheetView>
  </sheetViews>
  <sheetFormatPr defaultColWidth="9.140625" defaultRowHeight="13.5" x14ac:dyDescent="0.25"/>
  <cols>
    <col min="1" max="1" width="1.42578125" style="1" customWidth="1"/>
    <col min="2" max="2" width="14" style="1" customWidth="1"/>
    <col min="3" max="3" width="15.5703125" style="1" customWidth="1"/>
    <col min="4" max="4" width="41.7109375" style="2" bestFit="1" customWidth="1"/>
    <col min="5" max="5" width="23.85546875" style="3" bestFit="1" customWidth="1"/>
    <col min="6" max="6" width="13.28515625" style="2" bestFit="1" customWidth="1"/>
    <col min="7" max="7" width="17.140625" style="1" customWidth="1"/>
    <col min="8" max="8" width="14.140625" style="2" customWidth="1"/>
    <col min="9" max="9" width="9.42578125" style="1" customWidth="1"/>
    <col min="10" max="10" width="13.28515625" style="2" customWidth="1"/>
    <col min="11" max="11" width="13.5703125" style="2" customWidth="1"/>
    <col min="12" max="12" width="20.42578125" style="2" customWidth="1"/>
    <col min="13" max="13" width="21.42578125" style="2" bestFit="1" customWidth="1"/>
    <col min="14" max="14" width="11.28515625" style="63" customWidth="1"/>
    <col min="15" max="15" width="11.28515625" style="2" customWidth="1"/>
    <col min="16" max="16" width="11.5703125" style="2" customWidth="1"/>
    <col min="17" max="17" width="7.28515625" style="1" customWidth="1"/>
    <col min="18" max="18" width="11.85546875" style="2" customWidth="1"/>
    <col min="19" max="16384" width="9.140625" style="1"/>
  </cols>
  <sheetData>
    <row r="1" spans="2:18" ht="15" customHeight="1" x14ac:dyDescent="0.25">
      <c r="D1" s="112" t="s">
        <v>392</v>
      </c>
      <c r="E1" s="113"/>
      <c r="F1" s="113"/>
      <c r="G1" s="113"/>
      <c r="H1" s="114"/>
      <c r="I1" s="2"/>
      <c r="J1" s="5"/>
      <c r="K1" s="5"/>
      <c r="L1" s="5"/>
      <c r="M1" s="5"/>
    </row>
    <row r="2" spans="2:18" ht="15" customHeight="1" x14ac:dyDescent="0.25">
      <c r="D2" s="115"/>
      <c r="E2" s="116"/>
      <c r="F2" s="116"/>
      <c r="G2" s="116"/>
      <c r="H2" s="117"/>
      <c r="I2" s="6"/>
      <c r="J2" s="6"/>
      <c r="K2" s="6"/>
      <c r="L2" s="7"/>
      <c r="M2" s="7"/>
      <c r="N2" s="64"/>
      <c r="O2" s="7"/>
      <c r="P2" s="7"/>
    </row>
    <row r="3" spans="2:18" s="47" customFormat="1" ht="12.75" customHeight="1" x14ac:dyDescent="0.25">
      <c r="B3" s="52" t="s">
        <v>421</v>
      </c>
      <c r="C3" s="53" t="s">
        <v>15</v>
      </c>
      <c r="D3" s="53" t="s">
        <v>4</v>
      </c>
      <c r="E3" s="53" t="s">
        <v>0</v>
      </c>
      <c r="F3" s="53" t="s">
        <v>408</v>
      </c>
      <c r="G3" s="53" t="s">
        <v>5</v>
      </c>
      <c r="H3" s="53" t="s">
        <v>6</v>
      </c>
      <c r="I3" s="53" t="s">
        <v>401</v>
      </c>
      <c r="J3" s="52" t="s">
        <v>439</v>
      </c>
      <c r="K3" s="52" t="s">
        <v>399</v>
      </c>
      <c r="L3" s="52" t="s">
        <v>442</v>
      </c>
      <c r="M3" s="52" t="s">
        <v>440</v>
      </c>
      <c r="N3" s="65" t="s">
        <v>430</v>
      </c>
      <c r="O3" s="52" t="s">
        <v>398</v>
      </c>
      <c r="P3" s="52" t="s">
        <v>411</v>
      </c>
      <c r="R3" s="48"/>
    </row>
    <row r="4" spans="2:18" s="8" customFormat="1" ht="12.75" hidden="1" customHeight="1" x14ac:dyDescent="0.25">
      <c r="B4" s="45">
        <v>45953</v>
      </c>
      <c r="C4" s="30" t="s">
        <v>393</v>
      </c>
      <c r="D4" s="31" t="s">
        <v>27</v>
      </c>
      <c r="E4" s="31" t="s">
        <v>7</v>
      </c>
      <c r="F4" s="32">
        <v>1000</v>
      </c>
      <c r="G4" s="32">
        <v>1000</v>
      </c>
      <c r="H4" s="33" t="s">
        <v>414</v>
      </c>
      <c r="I4" s="34">
        <f>IFERROR(G4/F4,0)</f>
        <v>1</v>
      </c>
      <c r="J4" s="14">
        <f>F4*80</f>
        <v>80000</v>
      </c>
      <c r="K4" s="14">
        <f>J4/1000</f>
        <v>80</v>
      </c>
      <c r="L4" s="15">
        <f>M4/1000</f>
        <v>0</v>
      </c>
      <c r="M4" s="14">
        <f>80*(F4-G4)</f>
        <v>0</v>
      </c>
      <c r="N4" s="66"/>
      <c r="O4" s="14">
        <f>3.3*1000*0.09</f>
        <v>297</v>
      </c>
      <c r="P4" s="14">
        <f>O4*L4</f>
        <v>0</v>
      </c>
    </row>
    <row r="5" spans="2:18" s="8" customFormat="1" ht="12.75" hidden="1" customHeight="1" x14ac:dyDescent="0.25">
      <c r="B5" s="45">
        <v>45953</v>
      </c>
      <c r="C5" s="30" t="s">
        <v>394</v>
      </c>
      <c r="D5" s="31" t="s">
        <v>169</v>
      </c>
      <c r="E5" s="31" t="s">
        <v>413</v>
      </c>
      <c r="F5" s="32">
        <v>100</v>
      </c>
      <c r="G5" s="32">
        <v>100</v>
      </c>
      <c r="H5" s="33" t="s">
        <v>414</v>
      </c>
      <c r="I5" s="34">
        <f t="shared" ref="I5:I21" si="0">IFERROR(G5/F5,0)</f>
        <v>1</v>
      </c>
      <c r="J5" s="14">
        <f>F5*60</f>
        <v>6000</v>
      </c>
      <c r="K5" s="14">
        <f>J5/1000</f>
        <v>6</v>
      </c>
      <c r="L5" s="15">
        <f t="shared" ref="L5:L9" si="1">M5/1000</f>
        <v>0</v>
      </c>
      <c r="M5" s="14">
        <f>80*(F5-G5)</f>
        <v>0</v>
      </c>
      <c r="N5" s="66"/>
      <c r="O5" s="14">
        <f>3*1000*0.09</f>
        <v>270</v>
      </c>
      <c r="P5" s="14">
        <f t="shared" ref="P5:P35" si="2">O5*L5</f>
        <v>0</v>
      </c>
    </row>
    <row r="6" spans="2:18" s="8" customFormat="1" ht="12.75" hidden="1" customHeight="1" x14ac:dyDescent="0.25">
      <c r="B6" s="45">
        <v>45953</v>
      </c>
      <c r="C6" s="30" t="s">
        <v>394</v>
      </c>
      <c r="D6" s="31" t="s">
        <v>205</v>
      </c>
      <c r="E6" s="31" t="s">
        <v>413</v>
      </c>
      <c r="F6" s="32">
        <v>400</v>
      </c>
      <c r="G6" s="32">
        <v>400</v>
      </c>
      <c r="H6" s="33" t="s">
        <v>414</v>
      </c>
      <c r="I6" s="34">
        <f t="shared" si="0"/>
        <v>1</v>
      </c>
      <c r="J6" s="14">
        <f>F6*70</f>
        <v>28000</v>
      </c>
      <c r="K6" s="14">
        <f t="shared" ref="K6:K63" si="3">J6/1000</f>
        <v>28</v>
      </c>
      <c r="L6" s="15">
        <f t="shared" si="1"/>
        <v>0</v>
      </c>
      <c r="M6" s="14">
        <f>80*(F6-G6)</f>
        <v>0</v>
      </c>
      <c r="N6" s="66"/>
      <c r="O6" s="14">
        <f>3*1000*0.09</f>
        <v>270</v>
      </c>
      <c r="P6" s="14">
        <f t="shared" si="2"/>
        <v>0</v>
      </c>
    </row>
    <row r="7" spans="2:18" s="8" customFormat="1" ht="12.75" hidden="1" customHeight="1" x14ac:dyDescent="0.25">
      <c r="B7" s="45">
        <v>45953</v>
      </c>
      <c r="C7" s="30" t="s">
        <v>394</v>
      </c>
      <c r="D7" s="31" t="s">
        <v>241</v>
      </c>
      <c r="E7" s="31" t="s">
        <v>413</v>
      </c>
      <c r="F7" s="32">
        <v>400</v>
      </c>
      <c r="G7" s="32">
        <v>400</v>
      </c>
      <c r="H7" s="33" t="s">
        <v>414</v>
      </c>
      <c r="I7" s="34">
        <f t="shared" si="0"/>
        <v>1</v>
      </c>
      <c r="J7" s="14">
        <f>F7*80</f>
        <v>32000</v>
      </c>
      <c r="K7" s="14">
        <f t="shared" si="3"/>
        <v>32</v>
      </c>
      <c r="L7" s="15">
        <f t="shared" si="1"/>
        <v>0</v>
      </c>
      <c r="M7" s="14">
        <f>80*(F7-G7)</f>
        <v>0</v>
      </c>
      <c r="N7" s="66"/>
      <c r="O7" s="14">
        <f>3*1000*0.09</f>
        <v>270</v>
      </c>
      <c r="P7" s="14">
        <f t="shared" si="2"/>
        <v>0</v>
      </c>
    </row>
    <row r="8" spans="2:18" s="8" customFormat="1" ht="12.75" hidden="1" customHeight="1" x14ac:dyDescent="0.25">
      <c r="B8" s="45">
        <v>45953</v>
      </c>
      <c r="C8" s="30" t="s">
        <v>394</v>
      </c>
      <c r="D8" s="31" t="s">
        <v>277</v>
      </c>
      <c r="E8" s="31" t="s">
        <v>413</v>
      </c>
      <c r="F8" s="32">
        <v>100</v>
      </c>
      <c r="G8" s="32">
        <v>100</v>
      </c>
      <c r="H8" s="33" t="s">
        <v>414</v>
      </c>
      <c r="I8" s="34">
        <f t="shared" si="0"/>
        <v>1</v>
      </c>
      <c r="J8" s="14">
        <f>F8*90</f>
        <v>9000</v>
      </c>
      <c r="K8" s="14">
        <f t="shared" si="3"/>
        <v>9</v>
      </c>
      <c r="L8" s="15">
        <f t="shared" si="1"/>
        <v>0</v>
      </c>
      <c r="M8" s="14">
        <f>80*(F8-G8)</f>
        <v>0</v>
      </c>
      <c r="N8" s="66"/>
      <c r="O8" s="14">
        <f t="shared" ref="O8:O12" si="4">3.2*1000*0.09</f>
        <v>288</v>
      </c>
      <c r="P8" s="14">
        <f t="shared" si="2"/>
        <v>0</v>
      </c>
    </row>
    <row r="9" spans="2:18" s="8" customFormat="1" ht="12.75" hidden="1" customHeight="1" x14ac:dyDescent="0.25">
      <c r="B9" s="45">
        <v>45953</v>
      </c>
      <c r="C9" s="30" t="s">
        <v>394</v>
      </c>
      <c r="D9" s="31" t="s">
        <v>203</v>
      </c>
      <c r="E9" s="31" t="s">
        <v>413</v>
      </c>
      <c r="F9" s="32">
        <v>100</v>
      </c>
      <c r="G9" s="32">
        <v>100</v>
      </c>
      <c r="H9" s="33" t="s">
        <v>414</v>
      </c>
      <c r="I9" s="34">
        <f t="shared" si="0"/>
        <v>1</v>
      </c>
      <c r="J9" s="14">
        <f>F9*70</f>
        <v>7000</v>
      </c>
      <c r="K9" s="14">
        <f t="shared" si="3"/>
        <v>7</v>
      </c>
      <c r="L9" s="15">
        <f t="shared" si="1"/>
        <v>0</v>
      </c>
      <c r="M9" s="14">
        <f>70*(F9-G9)</f>
        <v>0</v>
      </c>
      <c r="N9" s="66"/>
      <c r="O9" s="14">
        <f>2.8*1000*0.09</f>
        <v>252</v>
      </c>
      <c r="P9" s="14">
        <f t="shared" si="2"/>
        <v>0</v>
      </c>
    </row>
    <row r="10" spans="2:18" s="8" customFormat="1" ht="12.75" hidden="1" customHeight="1" x14ac:dyDescent="0.25">
      <c r="B10" s="45">
        <v>45953</v>
      </c>
      <c r="C10" s="30" t="s">
        <v>394</v>
      </c>
      <c r="D10" s="31" t="s">
        <v>23</v>
      </c>
      <c r="E10" s="31" t="s">
        <v>413</v>
      </c>
      <c r="F10" s="32">
        <v>100</v>
      </c>
      <c r="G10" s="32">
        <v>100</v>
      </c>
      <c r="H10" s="33" t="s">
        <v>414</v>
      </c>
      <c r="I10" s="34">
        <f t="shared" si="0"/>
        <v>1</v>
      </c>
      <c r="J10" s="14">
        <f>F10*80</f>
        <v>8000</v>
      </c>
      <c r="K10" s="14">
        <f t="shared" si="3"/>
        <v>8</v>
      </c>
      <c r="L10" s="15">
        <f t="shared" ref="L10:L21" si="5">M10/1000</f>
        <v>0</v>
      </c>
      <c r="M10" s="14">
        <f t="shared" ref="M10:M21" si="6">80*(F10-G10)</f>
        <v>0</v>
      </c>
      <c r="N10" s="66"/>
      <c r="O10" s="14">
        <f>2.8*1000*0.09</f>
        <v>252</v>
      </c>
      <c r="P10" s="14">
        <f t="shared" si="2"/>
        <v>0</v>
      </c>
    </row>
    <row r="11" spans="2:18" s="8" customFormat="1" ht="12.75" hidden="1" customHeight="1" x14ac:dyDescent="0.25">
      <c r="B11" s="45">
        <v>45953</v>
      </c>
      <c r="C11" s="30" t="s">
        <v>395</v>
      </c>
      <c r="D11" s="31" t="s">
        <v>241</v>
      </c>
      <c r="E11" s="31" t="s">
        <v>2</v>
      </c>
      <c r="F11" s="32">
        <v>4000</v>
      </c>
      <c r="G11" s="32">
        <v>4000</v>
      </c>
      <c r="H11" s="33" t="s">
        <v>414</v>
      </c>
      <c r="I11" s="34">
        <f t="shared" ref="I11:I20" si="7">IFERROR(G11/F11,0)</f>
        <v>1</v>
      </c>
      <c r="J11" s="14">
        <f>F11*80</f>
        <v>320000</v>
      </c>
      <c r="K11" s="14">
        <f t="shared" ref="K11:K20" si="8">J11/1000</f>
        <v>320</v>
      </c>
      <c r="L11" s="15">
        <f t="shared" si="5"/>
        <v>0</v>
      </c>
      <c r="M11" s="14">
        <f t="shared" ref="M11:M20" si="9">80*(F11-G11)</f>
        <v>0</v>
      </c>
      <c r="N11" s="66"/>
      <c r="O11" s="14">
        <f>3*1000*0.09</f>
        <v>270</v>
      </c>
      <c r="P11" s="14">
        <f t="shared" ref="P11:P20" si="10">O11*L11</f>
        <v>0</v>
      </c>
    </row>
    <row r="12" spans="2:18" s="8" customFormat="1" ht="12.75" hidden="1" customHeight="1" x14ac:dyDescent="0.25">
      <c r="B12" s="45">
        <v>45953</v>
      </c>
      <c r="C12" s="30" t="s">
        <v>395</v>
      </c>
      <c r="D12" s="31" t="s">
        <v>243</v>
      </c>
      <c r="E12" s="31" t="s">
        <v>2</v>
      </c>
      <c r="F12" s="32">
        <v>5000</v>
      </c>
      <c r="G12" s="32">
        <v>5000</v>
      </c>
      <c r="H12" s="33" t="s">
        <v>414</v>
      </c>
      <c r="I12" s="34">
        <f t="shared" si="7"/>
        <v>1</v>
      </c>
      <c r="J12" s="14">
        <f>F12*80</f>
        <v>400000</v>
      </c>
      <c r="K12" s="14">
        <f t="shared" si="8"/>
        <v>400</v>
      </c>
      <c r="L12" s="15">
        <f t="shared" si="5"/>
        <v>0</v>
      </c>
      <c r="M12" s="14">
        <f t="shared" si="9"/>
        <v>0</v>
      </c>
      <c r="N12" s="66"/>
      <c r="O12" s="14">
        <f t="shared" si="4"/>
        <v>288</v>
      </c>
      <c r="P12" s="14">
        <f t="shared" si="10"/>
        <v>0</v>
      </c>
    </row>
    <row r="13" spans="2:18" s="8" customFormat="1" ht="12.75" hidden="1" customHeight="1" x14ac:dyDescent="0.25">
      <c r="B13" s="45">
        <v>45953</v>
      </c>
      <c r="C13" s="30" t="s">
        <v>395</v>
      </c>
      <c r="D13" s="31" t="s">
        <v>313</v>
      </c>
      <c r="E13" s="31" t="s">
        <v>2</v>
      </c>
      <c r="F13" s="32">
        <v>20</v>
      </c>
      <c r="G13" s="32">
        <v>20</v>
      </c>
      <c r="H13" s="33" t="s">
        <v>414</v>
      </c>
      <c r="I13" s="34">
        <f t="shared" si="7"/>
        <v>1</v>
      </c>
      <c r="J13" s="14">
        <f>F13*100</f>
        <v>2000</v>
      </c>
      <c r="K13" s="14">
        <f t="shared" si="8"/>
        <v>2</v>
      </c>
      <c r="L13" s="15">
        <f t="shared" si="5"/>
        <v>0</v>
      </c>
      <c r="M13" s="14">
        <f t="shared" si="9"/>
        <v>0</v>
      </c>
      <c r="N13" s="66"/>
      <c r="O13" s="14">
        <f>3*1000*0.09</f>
        <v>270</v>
      </c>
      <c r="P13" s="14">
        <f t="shared" si="10"/>
        <v>0</v>
      </c>
    </row>
    <row r="14" spans="2:18" s="8" customFormat="1" ht="12.75" hidden="1" customHeight="1" x14ac:dyDescent="0.25">
      <c r="B14" s="45">
        <v>45953</v>
      </c>
      <c r="C14" s="30" t="s">
        <v>395</v>
      </c>
      <c r="D14" s="31" t="s">
        <v>317</v>
      </c>
      <c r="E14" s="31" t="s">
        <v>2</v>
      </c>
      <c r="F14" s="32">
        <v>20</v>
      </c>
      <c r="G14" s="32">
        <v>20</v>
      </c>
      <c r="H14" s="33" t="s">
        <v>414</v>
      </c>
      <c r="I14" s="34">
        <f t="shared" si="7"/>
        <v>1</v>
      </c>
      <c r="J14" s="14">
        <f>F14*100</f>
        <v>2000</v>
      </c>
      <c r="K14" s="14">
        <f t="shared" si="8"/>
        <v>2</v>
      </c>
      <c r="L14" s="15">
        <f t="shared" si="5"/>
        <v>0</v>
      </c>
      <c r="M14" s="14">
        <f t="shared" si="9"/>
        <v>0</v>
      </c>
      <c r="N14" s="66"/>
      <c r="O14" s="14">
        <f>3.3*1000*0.09</f>
        <v>297</v>
      </c>
      <c r="P14" s="14">
        <f t="shared" si="10"/>
        <v>0</v>
      </c>
    </row>
    <row r="15" spans="2:18" s="8" customFormat="1" ht="12.75" hidden="1" customHeight="1" x14ac:dyDescent="0.25">
      <c r="B15" s="45">
        <v>45953</v>
      </c>
      <c r="C15" s="30" t="s">
        <v>395</v>
      </c>
      <c r="D15" s="31" t="s">
        <v>239</v>
      </c>
      <c r="E15" s="31" t="s">
        <v>2</v>
      </c>
      <c r="F15" s="32">
        <v>1000</v>
      </c>
      <c r="G15" s="32">
        <v>1000</v>
      </c>
      <c r="H15" s="33" t="s">
        <v>414</v>
      </c>
      <c r="I15" s="34">
        <f t="shared" si="7"/>
        <v>1</v>
      </c>
      <c r="J15" s="14">
        <f t="shared" ref="J15:J20" si="11">F15*80</f>
        <v>80000</v>
      </c>
      <c r="K15" s="14">
        <f t="shared" si="8"/>
        <v>80</v>
      </c>
      <c r="L15" s="15">
        <f t="shared" si="5"/>
        <v>0</v>
      </c>
      <c r="M15" s="14">
        <f t="shared" si="9"/>
        <v>0</v>
      </c>
      <c r="N15" s="66"/>
      <c r="O15" s="14">
        <f>2.8*1000*0.09</f>
        <v>252</v>
      </c>
      <c r="P15" s="14">
        <f t="shared" si="10"/>
        <v>0</v>
      </c>
    </row>
    <row r="16" spans="2:18" s="8" customFormat="1" ht="12.75" hidden="1" customHeight="1" x14ac:dyDescent="0.25">
      <c r="B16" s="45">
        <v>45953</v>
      </c>
      <c r="C16" s="30" t="s">
        <v>395</v>
      </c>
      <c r="D16" s="31" t="s">
        <v>247</v>
      </c>
      <c r="E16" s="31" t="s">
        <v>2</v>
      </c>
      <c r="F16" s="32">
        <v>1000</v>
      </c>
      <c r="G16" s="32">
        <v>1000</v>
      </c>
      <c r="H16" s="33" t="s">
        <v>414</v>
      </c>
      <c r="I16" s="34">
        <f t="shared" si="7"/>
        <v>1</v>
      </c>
      <c r="J16" s="14">
        <f t="shared" si="11"/>
        <v>80000</v>
      </c>
      <c r="K16" s="14">
        <f t="shared" si="8"/>
        <v>80</v>
      </c>
      <c r="L16" s="15">
        <f t="shared" si="5"/>
        <v>0</v>
      </c>
      <c r="M16" s="14">
        <f t="shared" si="9"/>
        <v>0</v>
      </c>
      <c r="N16" s="66"/>
      <c r="O16" s="14">
        <f>3.6*1000*0.09</f>
        <v>324</v>
      </c>
      <c r="P16" s="14">
        <f t="shared" si="10"/>
        <v>0</v>
      </c>
    </row>
    <row r="17" spans="2:16" s="8" customFormat="1" ht="12.75" hidden="1" customHeight="1" x14ac:dyDescent="0.25">
      <c r="B17" s="45">
        <v>45953</v>
      </c>
      <c r="C17" s="30" t="s">
        <v>395</v>
      </c>
      <c r="D17" s="31" t="s">
        <v>247</v>
      </c>
      <c r="E17" s="31" t="s">
        <v>2</v>
      </c>
      <c r="F17" s="32">
        <v>1000</v>
      </c>
      <c r="G17" s="32">
        <v>1000</v>
      </c>
      <c r="H17" s="33" t="s">
        <v>414</v>
      </c>
      <c r="I17" s="34">
        <f t="shared" si="7"/>
        <v>1</v>
      </c>
      <c r="J17" s="14">
        <f t="shared" si="11"/>
        <v>80000</v>
      </c>
      <c r="K17" s="14">
        <f t="shared" si="8"/>
        <v>80</v>
      </c>
      <c r="L17" s="15">
        <f t="shared" si="5"/>
        <v>0</v>
      </c>
      <c r="M17" s="14">
        <f t="shared" si="9"/>
        <v>0</v>
      </c>
      <c r="N17" s="66"/>
      <c r="O17" s="14">
        <f>3.6*1000*0.09</f>
        <v>324</v>
      </c>
      <c r="P17" s="14">
        <f t="shared" si="10"/>
        <v>0</v>
      </c>
    </row>
    <row r="18" spans="2:16" s="8" customFormat="1" ht="12.75" hidden="1" customHeight="1" x14ac:dyDescent="0.25">
      <c r="B18" s="45">
        <v>45953</v>
      </c>
      <c r="C18" s="30" t="s">
        <v>395</v>
      </c>
      <c r="D18" s="31" t="s">
        <v>245</v>
      </c>
      <c r="E18" s="31" t="s">
        <v>2</v>
      </c>
      <c r="F18" s="32">
        <v>1000</v>
      </c>
      <c r="G18" s="32">
        <v>1000</v>
      </c>
      <c r="H18" s="33" t="s">
        <v>414</v>
      </c>
      <c r="I18" s="34">
        <f t="shared" si="7"/>
        <v>1</v>
      </c>
      <c r="J18" s="14">
        <f t="shared" si="11"/>
        <v>80000</v>
      </c>
      <c r="K18" s="14">
        <f t="shared" si="8"/>
        <v>80</v>
      </c>
      <c r="L18" s="15">
        <f t="shared" si="5"/>
        <v>0</v>
      </c>
      <c r="M18" s="14">
        <f t="shared" si="9"/>
        <v>0</v>
      </c>
      <c r="N18" s="66"/>
      <c r="O18" s="14">
        <f>3.3*1000*0.09</f>
        <v>297</v>
      </c>
      <c r="P18" s="14">
        <f t="shared" si="10"/>
        <v>0</v>
      </c>
    </row>
    <row r="19" spans="2:16" s="8" customFormat="1" ht="12.75" hidden="1" customHeight="1" x14ac:dyDescent="0.25">
      <c r="B19" s="45">
        <v>45953</v>
      </c>
      <c r="C19" s="30" t="s">
        <v>395</v>
      </c>
      <c r="D19" s="31" t="s">
        <v>243</v>
      </c>
      <c r="E19" s="31" t="s">
        <v>2</v>
      </c>
      <c r="F19" s="32">
        <v>1000</v>
      </c>
      <c r="G19" s="32">
        <v>1000</v>
      </c>
      <c r="H19" s="33" t="s">
        <v>414</v>
      </c>
      <c r="I19" s="34">
        <f t="shared" si="7"/>
        <v>1</v>
      </c>
      <c r="J19" s="14">
        <f t="shared" si="11"/>
        <v>80000</v>
      </c>
      <c r="K19" s="14">
        <f t="shared" si="8"/>
        <v>80</v>
      </c>
      <c r="L19" s="15">
        <f t="shared" si="5"/>
        <v>0</v>
      </c>
      <c r="M19" s="14">
        <f t="shared" si="9"/>
        <v>0</v>
      </c>
      <c r="N19" s="66"/>
      <c r="O19" s="14">
        <f>3.2*1000*0.09</f>
        <v>288</v>
      </c>
      <c r="P19" s="14">
        <f t="shared" si="10"/>
        <v>0</v>
      </c>
    </row>
    <row r="20" spans="2:16" s="8" customFormat="1" ht="12.75" hidden="1" customHeight="1" x14ac:dyDescent="0.25">
      <c r="B20" s="45">
        <v>45953</v>
      </c>
      <c r="C20" s="30" t="s">
        <v>395</v>
      </c>
      <c r="D20" s="31" t="s">
        <v>243</v>
      </c>
      <c r="E20" s="31" t="s">
        <v>2</v>
      </c>
      <c r="F20" s="32">
        <v>1000</v>
      </c>
      <c r="G20" s="32">
        <v>1000</v>
      </c>
      <c r="H20" s="33" t="s">
        <v>414</v>
      </c>
      <c r="I20" s="34">
        <f t="shared" si="7"/>
        <v>1</v>
      </c>
      <c r="J20" s="14">
        <f t="shared" si="11"/>
        <v>80000</v>
      </c>
      <c r="K20" s="14">
        <f t="shared" si="8"/>
        <v>80</v>
      </c>
      <c r="L20" s="15">
        <f t="shared" si="5"/>
        <v>0</v>
      </c>
      <c r="M20" s="14">
        <f t="shared" si="9"/>
        <v>0</v>
      </c>
      <c r="N20" s="66"/>
      <c r="O20" s="14">
        <f t="shared" ref="O20" si="12">3.2*1000*0.09</f>
        <v>288</v>
      </c>
      <c r="P20" s="14">
        <f t="shared" si="10"/>
        <v>0</v>
      </c>
    </row>
    <row r="21" spans="2:16" s="8" customFormat="1" ht="12.75" hidden="1" customHeight="1" x14ac:dyDescent="0.25">
      <c r="B21" s="45">
        <v>45953</v>
      </c>
      <c r="C21" s="30" t="s">
        <v>396</v>
      </c>
      <c r="D21" s="31" t="s">
        <v>225</v>
      </c>
      <c r="E21" s="31" t="s">
        <v>415</v>
      </c>
      <c r="F21" s="32">
        <v>900</v>
      </c>
      <c r="G21" s="32">
        <v>900</v>
      </c>
      <c r="H21" s="33" t="s">
        <v>414</v>
      </c>
      <c r="I21" s="34">
        <f t="shared" si="0"/>
        <v>1</v>
      </c>
      <c r="J21" s="14">
        <f>F21*75</f>
        <v>67500</v>
      </c>
      <c r="K21" s="14">
        <f t="shared" si="3"/>
        <v>67.5</v>
      </c>
      <c r="L21" s="15">
        <f t="shared" si="5"/>
        <v>0</v>
      </c>
      <c r="M21" s="14">
        <f t="shared" si="6"/>
        <v>0</v>
      </c>
      <c r="N21" s="66"/>
      <c r="O21" s="14">
        <f>3.3*1000*0.09</f>
        <v>297</v>
      </c>
      <c r="P21" s="14">
        <f t="shared" si="2"/>
        <v>0</v>
      </c>
    </row>
    <row r="22" spans="2:16" s="8" customFormat="1" ht="12.75" hidden="1" customHeight="1" x14ac:dyDescent="0.25">
      <c r="B22" s="45">
        <v>46011</v>
      </c>
      <c r="C22" s="30" t="s">
        <v>427</v>
      </c>
      <c r="D22" s="31" t="s">
        <v>203</v>
      </c>
      <c r="E22" s="31" t="s">
        <v>428</v>
      </c>
      <c r="F22" s="32">
        <v>400</v>
      </c>
      <c r="G22" s="32">
        <v>400</v>
      </c>
      <c r="H22" s="33" t="s">
        <v>414</v>
      </c>
      <c r="I22" s="34">
        <f t="shared" ref="I22:I23" si="13">IFERROR(G22/F22,0)</f>
        <v>1</v>
      </c>
      <c r="J22" s="14">
        <f>F22*70</f>
        <v>28000</v>
      </c>
      <c r="K22" s="14">
        <f t="shared" si="3"/>
        <v>28</v>
      </c>
      <c r="L22" s="15">
        <f t="shared" ref="L22:L23" si="14">M22/1000</f>
        <v>0</v>
      </c>
      <c r="M22" s="14">
        <f>70*(F22-G22)</f>
        <v>0</v>
      </c>
      <c r="N22" s="66"/>
      <c r="O22" s="14">
        <f>2.8*1000*0.09</f>
        <v>252</v>
      </c>
      <c r="P22" s="14">
        <f t="shared" si="2"/>
        <v>0</v>
      </c>
    </row>
    <row r="23" spans="2:16" s="8" customFormat="1" ht="12.75" hidden="1" customHeight="1" x14ac:dyDescent="0.25">
      <c r="B23" s="45">
        <v>46011</v>
      </c>
      <c r="C23" s="30" t="s">
        <v>427</v>
      </c>
      <c r="D23" s="31" t="s">
        <v>167</v>
      </c>
      <c r="E23" s="31" t="s">
        <v>428</v>
      </c>
      <c r="F23" s="32">
        <v>300</v>
      </c>
      <c r="G23" s="32">
        <v>300</v>
      </c>
      <c r="H23" s="33" t="s">
        <v>414</v>
      </c>
      <c r="I23" s="34">
        <f t="shared" si="13"/>
        <v>1</v>
      </c>
      <c r="J23" s="14">
        <f>F23*60</f>
        <v>18000</v>
      </c>
      <c r="K23" s="14">
        <f t="shared" si="3"/>
        <v>18</v>
      </c>
      <c r="L23" s="15">
        <f t="shared" si="14"/>
        <v>0</v>
      </c>
      <c r="M23" s="14">
        <f>70*(F23-G23)</f>
        <v>0</v>
      </c>
      <c r="N23" s="66"/>
      <c r="O23" s="14">
        <f>2.8*1000*0.09</f>
        <v>252</v>
      </c>
      <c r="P23" s="14">
        <f t="shared" si="2"/>
        <v>0</v>
      </c>
    </row>
    <row r="24" spans="2:16" s="8" customFormat="1" ht="12.75" hidden="1" customHeight="1" x14ac:dyDescent="0.25">
      <c r="B24" s="45">
        <v>46014</v>
      </c>
      <c r="C24" s="30">
        <v>13</v>
      </c>
      <c r="D24" s="31" t="s">
        <v>23</v>
      </c>
      <c r="E24" s="31" t="s">
        <v>435</v>
      </c>
      <c r="F24" s="32">
        <v>750</v>
      </c>
      <c r="G24" s="32">
        <v>750</v>
      </c>
      <c r="H24" s="33" t="s">
        <v>414</v>
      </c>
      <c r="I24" s="34">
        <f t="shared" ref="I24:I29" si="15">IFERROR(G24/F24,0)</f>
        <v>1</v>
      </c>
      <c r="J24" s="14">
        <f>F24*80</f>
        <v>60000</v>
      </c>
      <c r="K24" s="14">
        <f t="shared" si="3"/>
        <v>60</v>
      </c>
      <c r="L24" s="15">
        <f t="shared" ref="L24:L29" si="16">M24/1000</f>
        <v>0</v>
      </c>
      <c r="M24" s="14">
        <f>80*(F24-G24)</f>
        <v>0</v>
      </c>
      <c r="N24" s="66"/>
      <c r="O24" s="14">
        <f>2.8*1000*0.09</f>
        <v>252</v>
      </c>
      <c r="P24" s="14">
        <f t="shared" si="2"/>
        <v>0</v>
      </c>
    </row>
    <row r="25" spans="2:16" s="8" customFormat="1" ht="12.75" hidden="1" customHeight="1" x14ac:dyDescent="0.25">
      <c r="B25" s="45">
        <v>46014</v>
      </c>
      <c r="C25" s="30">
        <v>14</v>
      </c>
      <c r="D25" s="31" t="s">
        <v>23</v>
      </c>
      <c r="E25" s="31" t="s">
        <v>435</v>
      </c>
      <c r="F25" s="32">
        <v>350</v>
      </c>
      <c r="G25" s="32">
        <v>350</v>
      </c>
      <c r="H25" s="33" t="s">
        <v>414</v>
      </c>
      <c r="I25" s="34">
        <f t="shared" si="15"/>
        <v>1</v>
      </c>
      <c r="J25" s="14">
        <f>F25*80</f>
        <v>28000</v>
      </c>
      <c r="K25" s="14">
        <f t="shared" si="3"/>
        <v>28</v>
      </c>
      <c r="L25" s="15">
        <f t="shared" si="16"/>
        <v>0</v>
      </c>
      <c r="M25" s="14">
        <f>80*(F25-G25)</f>
        <v>0</v>
      </c>
      <c r="N25" s="66"/>
      <c r="O25" s="14">
        <f>2.8*1000*0.09</f>
        <v>252</v>
      </c>
      <c r="P25" s="14">
        <f t="shared" si="2"/>
        <v>0</v>
      </c>
    </row>
    <row r="26" spans="2:16" s="8" customFormat="1" ht="12.75" hidden="1" customHeight="1" x14ac:dyDescent="0.25">
      <c r="B26" s="45">
        <v>46014</v>
      </c>
      <c r="C26" s="30">
        <v>14</v>
      </c>
      <c r="D26" s="31" t="s">
        <v>205</v>
      </c>
      <c r="E26" s="31" t="s">
        <v>435</v>
      </c>
      <c r="F26" s="32">
        <v>350</v>
      </c>
      <c r="G26" s="32">
        <v>350</v>
      </c>
      <c r="H26" s="33" t="s">
        <v>414</v>
      </c>
      <c r="I26" s="34">
        <f t="shared" si="15"/>
        <v>1</v>
      </c>
      <c r="J26" s="14">
        <f>F26*70</f>
        <v>24500</v>
      </c>
      <c r="K26" s="14">
        <f t="shared" si="3"/>
        <v>24.5</v>
      </c>
      <c r="L26" s="15">
        <f t="shared" si="16"/>
        <v>0</v>
      </c>
      <c r="M26" s="14">
        <f>70*(F26-G26)</f>
        <v>0</v>
      </c>
      <c r="N26" s="66"/>
      <c r="O26" s="14">
        <f>3*1000*0.09</f>
        <v>270</v>
      </c>
      <c r="P26" s="14">
        <f t="shared" si="2"/>
        <v>0</v>
      </c>
    </row>
    <row r="27" spans="2:16" s="8" customFormat="1" ht="12.75" hidden="1" customHeight="1" x14ac:dyDescent="0.25">
      <c r="B27" s="45">
        <v>46014</v>
      </c>
      <c r="C27" s="30">
        <v>15</v>
      </c>
      <c r="D27" s="31" t="s">
        <v>205</v>
      </c>
      <c r="E27" s="31" t="s">
        <v>435</v>
      </c>
      <c r="F27" s="32">
        <v>750</v>
      </c>
      <c r="G27" s="32">
        <v>750</v>
      </c>
      <c r="H27" s="33" t="s">
        <v>414</v>
      </c>
      <c r="I27" s="34">
        <f t="shared" si="15"/>
        <v>1</v>
      </c>
      <c r="J27" s="14">
        <f>F27*70</f>
        <v>52500</v>
      </c>
      <c r="K27" s="14">
        <f t="shared" si="3"/>
        <v>52.5</v>
      </c>
      <c r="L27" s="15">
        <f t="shared" si="16"/>
        <v>0</v>
      </c>
      <c r="M27" s="14">
        <f>70*(F27-G27)</f>
        <v>0</v>
      </c>
      <c r="N27" s="66"/>
      <c r="O27" s="14">
        <f>3*1000*0.09</f>
        <v>270</v>
      </c>
      <c r="P27" s="14">
        <f t="shared" si="2"/>
        <v>0</v>
      </c>
    </row>
    <row r="28" spans="2:16" s="8" customFormat="1" ht="12.75" hidden="1" customHeight="1" x14ac:dyDescent="0.25">
      <c r="B28" s="45">
        <v>46006</v>
      </c>
      <c r="C28" s="30" t="s">
        <v>410</v>
      </c>
      <c r="D28" s="31" t="s">
        <v>23</v>
      </c>
      <c r="E28" s="31" t="s">
        <v>412</v>
      </c>
      <c r="F28" s="32">
        <v>750</v>
      </c>
      <c r="G28" s="32">
        <v>750</v>
      </c>
      <c r="H28" s="33" t="s">
        <v>414</v>
      </c>
      <c r="I28" s="34">
        <f t="shared" si="15"/>
        <v>1</v>
      </c>
      <c r="J28" s="14">
        <f>F28*80</f>
        <v>60000</v>
      </c>
      <c r="K28" s="14">
        <f t="shared" si="3"/>
        <v>60</v>
      </c>
      <c r="L28" s="15">
        <f t="shared" si="16"/>
        <v>0</v>
      </c>
      <c r="M28" s="14">
        <f>80*(F28-G28)</f>
        <v>0</v>
      </c>
      <c r="N28" s="66"/>
      <c r="O28" s="14">
        <f>2.8*1000*0.09</f>
        <v>252</v>
      </c>
      <c r="P28" s="14">
        <f t="shared" si="2"/>
        <v>0</v>
      </c>
    </row>
    <row r="29" spans="2:16" s="8" customFormat="1" ht="12.75" hidden="1" customHeight="1" x14ac:dyDescent="0.25">
      <c r="B29" s="45">
        <v>46006</v>
      </c>
      <c r="C29" s="30" t="s">
        <v>410</v>
      </c>
      <c r="D29" s="31" t="s">
        <v>21</v>
      </c>
      <c r="E29" s="31" t="s">
        <v>412</v>
      </c>
      <c r="F29" s="32">
        <v>1000</v>
      </c>
      <c r="G29" s="32">
        <v>1000</v>
      </c>
      <c r="H29" s="33" t="s">
        <v>414</v>
      </c>
      <c r="I29" s="34">
        <f t="shared" si="15"/>
        <v>1</v>
      </c>
      <c r="J29" s="14">
        <f>F29*80</f>
        <v>80000</v>
      </c>
      <c r="K29" s="14">
        <f t="shared" si="3"/>
        <v>80</v>
      </c>
      <c r="L29" s="15">
        <f t="shared" si="16"/>
        <v>0</v>
      </c>
      <c r="M29" s="14">
        <f>80*(F29-G29)</f>
        <v>0</v>
      </c>
      <c r="N29" s="66"/>
      <c r="O29" s="14">
        <f>3*1000*0.09</f>
        <v>270</v>
      </c>
      <c r="P29" s="14">
        <f t="shared" si="2"/>
        <v>0</v>
      </c>
    </row>
    <row r="30" spans="2:16" s="8" customFormat="1" ht="12.75" hidden="1" customHeight="1" x14ac:dyDescent="0.25">
      <c r="B30" s="45">
        <v>46006</v>
      </c>
      <c r="C30" s="30" t="s">
        <v>410</v>
      </c>
      <c r="D30" s="31" t="s">
        <v>29</v>
      </c>
      <c r="E30" s="31" t="s">
        <v>412</v>
      </c>
      <c r="F30" s="32">
        <v>250</v>
      </c>
      <c r="G30" s="32">
        <v>250</v>
      </c>
      <c r="H30" s="33" t="s">
        <v>414</v>
      </c>
      <c r="I30" s="34">
        <f t="shared" ref="I30:I35" si="17">IFERROR(G30/F30,0)</f>
        <v>1</v>
      </c>
      <c r="J30" s="14">
        <f>F30*80</f>
        <v>20000</v>
      </c>
      <c r="K30" s="14">
        <f t="shared" si="3"/>
        <v>20</v>
      </c>
      <c r="L30" s="15">
        <f t="shared" ref="L30:L35" si="18">M30/1000</f>
        <v>0</v>
      </c>
      <c r="M30" s="14">
        <f>80*(F30-G30)</f>
        <v>0</v>
      </c>
      <c r="N30" s="66"/>
      <c r="O30" s="14">
        <f>3.6*1000*0.09</f>
        <v>324</v>
      </c>
      <c r="P30" s="14">
        <f t="shared" si="2"/>
        <v>0</v>
      </c>
    </row>
    <row r="31" spans="2:16" s="8" customFormat="1" ht="12.75" hidden="1" customHeight="1" x14ac:dyDescent="0.25">
      <c r="B31" s="45">
        <v>46006</v>
      </c>
      <c r="C31" s="30" t="s">
        <v>410</v>
      </c>
      <c r="D31" s="31" t="s">
        <v>205</v>
      </c>
      <c r="E31" s="31" t="s">
        <v>412</v>
      </c>
      <c r="F31" s="32">
        <v>600</v>
      </c>
      <c r="G31" s="32">
        <v>600</v>
      </c>
      <c r="H31" s="33" t="s">
        <v>414</v>
      </c>
      <c r="I31" s="34">
        <f t="shared" si="17"/>
        <v>1</v>
      </c>
      <c r="J31" s="14">
        <f>F31*70</f>
        <v>42000</v>
      </c>
      <c r="K31" s="14">
        <f t="shared" si="3"/>
        <v>42</v>
      </c>
      <c r="L31" s="15">
        <f t="shared" si="18"/>
        <v>0</v>
      </c>
      <c r="M31" s="14">
        <f>70*(F31-G31)</f>
        <v>0</v>
      </c>
      <c r="N31" s="66"/>
      <c r="O31" s="14">
        <f>3*1000*0.09</f>
        <v>270</v>
      </c>
      <c r="P31" s="14">
        <f t="shared" si="2"/>
        <v>0</v>
      </c>
    </row>
    <row r="32" spans="2:16" s="8" customFormat="1" ht="12.75" hidden="1" customHeight="1" x14ac:dyDescent="0.25">
      <c r="B32" s="45">
        <v>46006</v>
      </c>
      <c r="C32" s="30" t="s">
        <v>410</v>
      </c>
      <c r="D32" s="31" t="s">
        <v>203</v>
      </c>
      <c r="E32" s="31" t="s">
        <v>412</v>
      </c>
      <c r="F32" s="32">
        <v>900</v>
      </c>
      <c r="G32" s="32">
        <v>900</v>
      </c>
      <c r="H32" s="33" t="s">
        <v>414</v>
      </c>
      <c r="I32" s="34">
        <f t="shared" si="17"/>
        <v>1</v>
      </c>
      <c r="J32" s="14">
        <f>F32*70</f>
        <v>63000</v>
      </c>
      <c r="K32" s="14">
        <f t="shared" si="3"/>
        <v>63</v>
      </c>
      <c r="L32" s="15">
        <f t="shared" si="18"/>
        <v>0</v>
      </c>
      <c r="M32" s="14">
        <f>70*(F32-G32)</f>
        <v>0</v>
      </c>
      <c r="N32" s="66"/>
      <c r="O32" s="14">
        <f>2.8*1000*0.09</f>
        <v>252</v>
      </c>
      <c r="P32" s="14">
        <f t="shared" si="2"/>
        <v>0</v>
      </c>
    </row>
    <row r="33" spans="2:16" s="8" customFormat="1" ht="12.75" hidden="1" customHeight="1" x14ac:dyDescent="0.25">
      <c r="B33" s="45">
        <v>46006</v>
      </c>
      <c r="C33" s="30" t="s">
        <v>410</v>
      </c>
      <c r="D33" s="31" t="s">
        <v>133</v>
      </c>
      <c r="E33" s="31" t="s">
        <v>412</v>
      </c>
      <c r="F33" s="32">
        <v>120</v>
      </c>
      <c r="G33" s="32">
        <v>120</v>
      </c>
      <c r="H33" s="33" t="s">
        <v>414</v>
      </c>
      <c r="I33" s="34">
        <f t="shared" si="17"/>
        <v>1</v>
      </c>
      <c r="J33" s="14">
        <f>F33*50</f>
        <v>6000</v>
      </c>
      <c r="K33" s="14">
        <f t="shared" si="3"/>
        <v>6</v>
      </c>
      <c r="L33" s="15">
        <f t="shared" si="18"/>
        <v>0</v>
      </c>
      <c r="M33" s="14">
        <f>50*(F33-G33)</f>
        <v>0</v>
      </c>
      <c r="N33" s="66"/>
      <c r="O33" s="14">
        <f t="shared" ref="O33:O38" si="19">3*1000*0.09</f>
        <v>270</v>
      </c>
      <c r="P33" s="14">
        <f t="shared" si="2"/>
        <v>0</v>
      </c>
    </row>
    <row r="34" spans="2:16" s="8" customFormat="1" ht="12.75" hidden="1" customHeight="1" x14ac:dyDescent="0.25">
      <c r="B34" s="45">
        <v>46006</v>
      </c>
      <c r="C34" s="30" t="s">
        <v>410</v>
      </c>
      <c r="D34" s="31" t="s">
        <v>187</v>
      </c>
      <c r="E34" s="31" t="s">
        <v>412</v>
      </c>
      <c r="F34" s="32">
        <v>200</v>
      </c>
      <c r="G34" s="32">
        <v>200</v>
      </c>
      <c r="H34" s="33" t="s">
        <v>414</v>
      </c>
      <c r="I34" s="34">
        <f t="shared" si="17"/>
        <v>1</v>
      </c>
      <c r="J34" s="14">
        <f>F34*65</f>
        <v>13000</v>
      </c>
      <c r="K34" s="14">
        <f t="shared" si="3"/>
        <v>13</v>
      </c>
      <c r="L34" s="15">
        <f t="shared" si="18"/>
        <v>0</v>
      </c>
      <c r="M34" s="14">
        <f>65*(F34-G34)</f>
        <v>0</v>
      </c>
      <c r="N34" s="66"/>
      <c r="O34" s="14">
        <f t="shared" si="19"/>
        <v>270</v>
      </c>
      <c r="P34" s="14">
        <f t="shared" si="2"/>
        <v>0</v>
      </c>
    </row>
    <row r="35" spans="2:16" s="8" customFormat="1" ht="12.75" hidden="1" customHeight="1" x14ac:dyDescent="0.25">
      <c r="B35" s="45">
        <v>46006</v>
      </c>
      <c r="C35" s="30" t="s">
        <v>410</v>
      </c>
      <c r="D35" s="31" t="s">
        <v>169</v>
      </c>
      <c r="E35" s="31" t="s">
        <v>412</v>
      </c>
      <c r="F35" s="32">
        <v>200</v>
      </c>
      <c r="G35" s="32">
        <v>200</v>
      </c>
      <c r="H35" s="33" t="s">
        <v>414</v>
      </c>
      <c r="I35" s="34">
        <f t="shared" si="17"/>
        <v>1</v>
      </c>
      <c r="J35" s="14">
        <f>F35*60</f>
        <v>12000</v>
      </c>
      <c r="K35" s="14">
        <f t="shared" si="3"/>
        <v>12</v>
      </c>
      <c r="L35" s="15">
        <f t="shared" si="18"/>
        <v>0</v>
      </c>
      <c r="M35" s="14">
        <f>60*(F35-G35)</f>
        <v>0</v>
      </c>
      <c r="N35" s="66"/>
      <c r="O35" s="14">
        <f t="shared" si="19"/>
        <v>270</v>
      </c>
      <c r="P35" s="14">
        <f t="shared" si="2"/>
        <v>0</v>
      </c>
    </row>
    <row r="36" spans="2:16" s="8" customFormat="1" ht="12.75" hidden="1" customHeight="1" x14ac:dyDescent="0.25">
      <c r="B36" s="45">
        <v>46006</v>
      </c>
      <c r="C36" s="30" t="s">
        <v>410</v>
      </c>
      <c r="D36" s="31" t="s">
        <v>235</v>
      </c>
      <c r="E36" s="31" t="s">
        <v>412</v>
      </c>
      <c r="F36" s="32">
        <v>200</v>
      </c>
      <c r="G36" s="32">
        <v>200</v>
      </c>
      <c r="H36" s="33" t="s">
        <v>414</v>
      </c>
      <c r="I36" s="34">
        <f t="shared" ref="I36:I42" si="20">IFERROR(G36/F36,0)</f>
        <v>1</v>
      </c>
      <c r="J36" s="14">
        <f>F36*75</f>
        <v>15000</v>
      </c>
      <c r="K36" s="14">
        <f t="shared" si="3"/>
        <v>15</v>
      </c>
      <c r="L36" s="15">
        <f t="shared" ref="L36:L42" si="21">M36/1000</f>
        <v>0</v>
      </c>
      <c r="M36" s="14">
        <f>75*(F36-G36)</f>
        <v>0</v>
      </c>
      <c r="N36" s="66"/>
      <c r="O36" s="14">
        <f t="shared" si="19"/>
        <v>270</v>
      </c>
      <c r="P36" s="14">
        <f t="shared" ref="P36:P63" si="22">O36*L36</f>
        <v>0</v>
      </c>
    </row>
    <row r="37" spans="2:16" s="8" customFormat="1" ht="12.75" hidden="1" customHeight="1" x14ac:dyDescent="0.25">
      <c r="B37" s="45">
        <v>46006</v>
      </c>
      <c r="C37" s="30" t="s">
        <v>410</v>
      </c>
      <c r="D37" s="31" t="s">
        <v>277</v>
      </c>
      <c r="E37" s="31" t="s">
        <v>412</v>
      </c>
      <c r="F37" s="32">
        <v>120</v>
      </c>
      <c r="G37" s="32">
        <v>120</v>
      </c>
      <c r="H37" s="33" t="s">
        <v>414</v>
      </c>
      <c r="I37" s="34">
        <f t="shared" si="20"/>
        <v>1</v>
      </c>
      <c r="J37" s="14">
        <f>F37*90</f>
        <v>10800</v>
      </c>
      <c r="K37" s="14">
        <f t="shared" si="3"/>
        <v>10.8</v>
      </c>
      <c r="L37" s="15">
        <f t="shared" si="21"/>
        <v>0</v>
      </c>
      <c r="M37" s="14">
        <f>90*(F37-G37)</f>
        <v>0</v>
      </c>
      <c r="N37" s="66"/>
      <c r="O37" s="14">
        <f t="shared" si="19"/>
        <v>270</v>
      </c>
      <c r="P37" s="14">
        <f t="shared" si="22"/>
        <v>0</v>
      </c>
    </row>
    <row r="38" spans="2:16" s="8" customFormat="1" ht="12.75" hidden="1" customHeight="1" x14ac:dyDescent="0.25">
      <c r="B38" s="45">
        <v>46006</v>
      </c>
      <c r="C38" s="30" t="s">
        <v>410</v>
      </c>
      <c r="D38" s="31" t="s">
        <v>313</v>
      </c>
      <c r="E38" s="31" t="s">
        <v>412</v>
      </c>
      <c r="F38" s="32">
        <v>120</v>
      </c>
      <c r="G38" s="32">
        <v>120</v>
      </c>
      <c r="H38" s="33" t="s">
        <v>414</v>
      </c>
      <c r="I38" s="34">
        <f t="shared" si="20"/>
        <v>1</v>
      </c>
      <c r="J38" s="14">
        <f>F38*100</f>
        <v>12000</v>
      </c>
      <c r="K38" s="14">
        <f t="shared" si="3"/>
        <v>12</v>
      </c>
      <c r="L38" s="15">
        <f t="shared" si="21"/>
        <v>0</v>
      </c>
      <c r="M38" s="14">
        <f>100*(F38-G38)</f>
        <v>0</v>
      </c>
      <c r="N38" s="66"/>
      <c r="O38" s="14">
        <f t="shared" si="19"/>
        <v>270</v>
      </c>
      <c r="P38" s="14">
        <f t="shared" si="22"/>
        <v>0</v>
      </c>
    </row>
    <row r="39" spans="2:16" s="8" customFormat="1" ht="12.75" hidden="1" customHeight="1" x14ac:dyDescent="0.25">
      <c r="B39" s="45">
        <v>46006</v>
      </c>
      <c r="C39" s="30" t="s">
        <v>410</v>
      </c>
      <c r="D39" s="31" t="s">
        <v>221</v>
      </c>
      <c r="E39" s="31" t="s">
        <v>412</v>
      </c>
      <c r="F39" s="32">
        <v>200</v>
      </c>
      <c r="G39" s="32">
        <v>200</v>
      </c>
      <c r="H39" s="33" t="s">
        <v>414</v>
      </c>
      <c r="I39" s="34">
        <f t="shared" si="20"/>
        <v>1</v>
      </c>
      <c r="J39" s="14">
        <f>F39*75</f>
        <v>15000</v>
      </c>
      <c r="K39" s="14">
        <f t="shared" si="3"/>
        <v>15</v>
      </c>
      <c r="L39" s="15">
        <f t="shared" si="21"/>
        <v>0</v>
      </c>
      <c r="M39" s="14">
        <f>75*(F39-G39)</f>
        <v>0</v>
      </c>
      <c r="N39" s="66"/>
      <c r="O39" s="14">
        <f>2.8*1000*0.09</f>
        <v>252</v>
      </c>
      <c r="P39" s="14">
        <f t="shared" si="22"/>
        <v>0</v>
      </c>
    </row>
    <row r="40" spans="2:16" s="8" customFormat="1" ht="12.75" hidden="1" customHeight="1" x14ac:dyDescent="0.25">
      <c r="B40" s="45">
        <v>46006</v>
      </c>
      <c r="C40" s="30" t="s">
        <v>410</v>
      </c>
      <c r="D40" s="31" t="s">
        <v>275</v>
      </c>
      <c r="E40" s="31" t="s">
        <v>412</v>
      </c>
      <c r="F40" s="32">
        <v>120</v>
      </c>
      <c r="G40" s="32">
        <v>120</v>
      </c>
      <c r="H40" s="33" t="s">
        <v>414</v>
      </c>
      <c r="I40" s="34">
        <f t="shared" si="20"/>
        <v>1</v>
      </c>
      <c r="J40" s="14">
        <f>F40*90</f>
        <v>10800</v>
      </c>
      <c r="K40" s="14">
        <f t="shared" si="3"/>
        <v>10.8</v>
      </c>
      <c r="L40" s="15">
        <f t="shared" si="21"/>
        <v>0</v>
      </c>
      <c r="M40" s="14">
        <f>90*(F40-G40)</f>
        <v>0</v>
      </c>
      <c r="N40" s="66"/>
      <c r="O40" s="14">
        <f>2.8*1000*0.09</f>
        <v>252</v>
      </c>
      <c r="P40" s="14">
        <f t="shared" si="22"/>
        <v>0</v>
      </c>
    </row>
    <row r="41" spans="2:16" s="8" customFormat="1" ht="12.75" hidden="1" customHeight="1" x14ac:dyDescent="0.25">
      <c r="B41" s="45">
        <v>46006</v>
      </c>
      <c r="C41" s="30" t="s">
        <v>410</v>
      </c>
      <c r="D41" s="31" t="s">
        <v>311</v>
      </c>
      <c r="E41" s="31" t="s">
        <v>412</v>
      </c>
      <c r="F41" s="32">
        <v>120</v>
      </c>
      <c r="G41" s="32">
        <v>120</v>
      </c>
      <c r="H41" s="33" t="s">
        <v>414</v>
      </c>
      <c r="I41" s="34">
        <f t="shared" si="20"/>
        <v>1</v>
      </c>
      <c r="J41" s="14">
        <f>F41*100</f>
        <v>12000</v>
      </c>
      <c r="K41" s="14">
        <f t="shared" si="3"/>
        <v>12</v>
      </c>
      <c r="L41" s="15">
        <f t="shared" si="21"/>
        <v>0</v>
      </c>
      <c r="M41" s="14">
        <f>100*(F41-G41)</f>
        <v>0</v>
      </c>
      <c r="N41" s="66"/>
      <c r="O41" s="14">
        <f>2.8*1000*0.1</f>
        <v>280</v>
      </c>
      <c r="P41" s="14">
        <f t="shared" si="22"/>
        <v>0</v>
      </c>
    </row>
    <row r="42" spans="2:16" s="8" customFormat="1" ht="12.75" hidden="1" customHeight="1" x14ac:dyDescent="0.25">
      <c r="B42" s="45">
        <v>46006</v>
      </c>
      <c r="C42" s="30" t="s">
        <v>410</v>
      </c>
      <c r="D42" s="31" t="s">
        <v>265</v>
      </c>
      <c r="E42" s="31" t="s">
        <v>412</v>
      </c>
      <c r="F42" s="32">
        <v>200</v>
      </c>
      <c r="G42" s="32">
        <v>200</v>
      </c>
      <c r="H42" s="33" t="s">
        <v>414</v>
      </c>
      <c r="I42" s="34">
        <f t="shared" si="20"/>
        <v>1</v>
      </c>
      <c r="J42" s="14">
        <f>F42*85</f>
        <v>17000</v>
      </c>
      <c r="K42" s="14">
        <f t="shared" si="3"/>
        <v>17</v>
      </c>
      <c r="L42" s="15">
        <f t="shared" si="21"/>
        <v>0</v>
      </c>
      <c r="M42" s="14">
        <f>85*(F42-G42)</f>
        <v>0</v>
      </c>
      <c r="N42" s="66"/>
      <c r="O42" s="14">
        <f>3.6*1000*0.085</f>
        <v>306</v>
      </c>
      <c r="P42" s="14">
        <f t="shared" si="22"/>
        <v>0</v>
      </c>
    </row>
    <row r="43" spans="2:16" s="8" customFormat="1" ht="12.75" hidden="1" customHeight="1" x14ac:dyDescent="0.25">
      <c r="B43" s="45">
        <v>46006</v>
      </c>
      <c r="C43" s="30" t="s">
        <v>410</v>
      </c>
      <c r="D43" s="31" t="s">
        <v>86</v>
      </c>
      <c r="E43" s="31" t="s">
        <v>412</v>
      </c>
      <c r="F43" s="32">
        <v>2500</v>
      </c>
      <c r="G43" s="32">
        <v>2500</v>
      </c>
      <c r="H43" s="33" t="s">
        <v>414</v>
      </c>
      <c r="I43" s="34">
        <f>IFERROR(G43/F43,0)</f>
        <v>1</v>
      </c>
      <c r="J43" s="14">
        <f>F43*6</f>
        <v>15000</v>
      </c>
      <c r="K43" s="14">
        <f t="shared" si="3"/>
        <v>15</v>
      </c>
      <c r="L43" s="15">
        <f>M43/1000</f>
        <v>0</v>
      </c>
      <c r="M43" s="14">
        <f>6*(F43-G43)</f>
        <v>0</v>
      </c>
      <c r="N43" s="66"/>
      <c r="O43" s="14">
        <f>2.8*1000*0.06</f>
        <v>168</v>
      </c>
      <c r="P43" s="14">
        <f t="shared" si="22"/>
        <v>0</v>
      </c>
    </row>
    <row r="44" spans="2:16" s="8" customFormat="1" ht="12.75" hidden="1" customHeight="1" x14ac:dyDescent="0.25">
      <c r="B44" s="45">
        <v>46014</v>
      </c>
      <c r="C44" s="30">
        <v>11</v>
      </c>
      <c r="D44" s="31" t="s">
        <v>235</v>
      </c>
      <c r="E44" s="31" t="s">
        <v>434</v>
      </c>
      <c r="F44" s="32">
        <v>600</v>
      </c>
      <c r="G44" s="32">
        <v>600</v>
      </c>
      <c r="H44" s="33" t="s">
        <v>414</v>
      </c>
      <c r="I44" s="34">
        <f t="shared" ref="I44:I49" si="23">IFERROR(G44/F44,0)</f>
        <v>1</v>
      </c>
      <c r="J44" s="14">
        <f>F44*75</f>
        <v>45000</v>
      </c>
      <c r="K44" s="14">
        <f t="shared" si="3"/>
        <v>45</v>
      </c>
      <c r="L44" s="15">
        <f t="shared" ref="L44:L49" si="24">M44/1000</f>
        <v>0</v>
      </c>
      <c r="M44" s="14">
        <f>75*(F44-G44)</f>
        <v>0</v>
      </c>
      <c r="N44" s="66"/>
      <c r="O44" s="14">
        <f>3*1000*0.075</f>
        <v>225</v>
      </c>
      <c r="P44" s="14">
        <f t="shared" si="22"/>
        <v>0</v>
      </c>
    </row>
    <row r="45" spans="2:16" s="8" customFormat="1" ht="12.75" hidden="1" customHeight="1" x14ac:dyDescent="0.25">
      <c r="B45" s="45">
        <v>46014</v>
      </c>
      <c r="C45" s="30">
        <v>12</v>
      </c>
      <c r="D45" s="31" t="s">
        <v>235</v>
      </c>
      <c r="E45" s="31" t="s">
        <v>434</v>
      </c>
      <c r="F45" s="32">
        <v>100</v>
      </c>
      <c r="G45" s="32">
        <v>100</v>
      </c>
      <c r="H45" s="33" t="s">
        <v>414</v>
      </c>
      <c r="I45" s="34">
        <f t="shared" si="23"/>
        <v>1</v>
      </c>
      <c r="J45" s="14">
        <f>F45*75</f>
        <v>7500</v>
      </c>
      <c r="K45" s="14">
        <f t="shared" si="3"/>
        <v>7.5</v>
      </c>
      <c r="L45" s="15">
        <f t="shared" si="24"/>
        <v>0</v>
      </c>
      <c r="M45" s="14">
        <f>75*(F45-G45)</f>
        <v>0</v>
      </c>
      <c r="N45" s="66"/>
      <c r="O45" s="14">
        <f>3*1000*0.075</f>
        <v>225</v>
      </c>
      <c r="P45" s="14">
        <f t="shared" si="22"/>
        <v>0</v>
      </c>
    </row>
    <row r="46" spans="2:16" s="8" customFormat="1" ht="12.75" hidden="1" customHeight="1" x14ac:dyDescent="0.25">
      <c r="B46" s="45">
        <v>46014</v>
      </c>
      <c r="C46" s="30">
        <v>12</v>
      </c>
      <c r="D46" s="31" t="s">
        <v>21</v>
      </c>
      <c r="E46" s="31" t="s">
        <v>434</v>
      </c>
      <c r="F46" s="32">
        <v>250</v>
      </c>
      <c r="G46" s="32">
        <v>250</v>
      </c>
      <c r="H46" s="33" t="s">
        <v>414</v>
      </c>
      <c r="I46" s="34">
        <f t="shared" si="23"/>
        <v>1</v>
      </c>
      <c r="J46" s="14">
        <f>F46*80</f>
        <v>20000</v>
      </c>
      <c r="K46" s="14">
        <f t="shared" si="3"/>
        <v>20</v>
      </c>
      <c r="L46" s="15">
        <f t="shared" si="24"/>
        <v>0</v>
      </c>
      <c r="M46" s="14">
        <f>80*(F46-G46)</f>
        <v>0</v>
      </c>
      <c r="N46" s="66"/>
      <c r="O46" s="14">
        <f t="shared" ref="O46:O58" si="25">3*1000*0.09</f>
        <v>270</v>
      </c>
      <c r="P46" s="14">
        <f t="shared" si="22"/>
        <v>0</v>
      </c>
    </row>
    <row r="47" spans="2:16" s="8" customFormat="1" ht="12.75" hidden="1" customHeight="1" x14ac:dyDescent="0.25">
      <c r="B47" s="45">
        <v>46014</v>
      </c>
      <c r="C47" s="30">
        <v>12</v>
      </c>
      <c r="D47" s="31" t="s">
        <v>223</v>
      </c>
      <c r="E47" s="31" t="s">
        <v>434</v>
      </c>
      <c r="F47" s="32">
        <v>250</v>
      </c>
      <c r="G47" s="32">
        <v>250</v>
      </c>
      <c r="H47" s="33" t="s">
        <v>414</v>
      </c>
      <c r="I47" s="34">
        <f t="shared" si="23"/>
        <v>1</v>
      </c>
      <c r="J47" s="14">
        <f>F47*75</f>
        <v>18750</v>
      </c>
      <c r="K47" s="14">
        <f t="shared" si="3"/>
        <v>18.75</v>
      </c>
      <c r="L47" s="15">
        <f t="shared" si="24"/>
        <v>0</v>
      </c>
      <c r="M47" s="14">
        <f>75*(F47-G47)</f>
        <v>0</v>
      </c>
      <c r="N47" s="66"/>
      <c r="O47" s="14">
        <f>3.2*1000*0.075</f>
        <v>240</v>
      </c>
      <c r="P47" s="14">
        <f t="shared" si="22"/>
        <v>0</v>
      </c>
    </row>
    <row r="48" spans="2:16" s="8" customFormat="1" ht="12.75" hidden="1" customHeight="1" x14ac:dyDescent="0.25">
      <c r="B48" s="45">
        <v>46011</v>
      </c>
      <c r="C48" s="30" t="s">
        <v>429</v>
      </c>
      <c r="D48" s="31" t="s">
        <v>23</v>
      </c>
      <c r="E48" s="31" t="s">
        <v>428</v>
      </c>
      <c r="F48" s="32">
        <v>200</v>
      </c>
      <c r="G48" s="32">
        <v>200</v>
      </c>
      <c r="H48" s="33" t="s">
        <v>414</v>
      </c>
      <c r="I48" s="34">
        <f t="shared" si="23"/>
        <v>1</v>
      </c>
      <c r="J48" s="14">
        <f>F48*80</f>
        <v>16000</v>
      </c>
      <c r="K48" s="14">
        <f t="shared" si="3"/>
        <v>16</v>
      </c>
      <c r="L48" s="15">
        <f t="shared" si="24"/>
        <v>0</v>
      </c>
      <c r="M48" s="14">
        <f>80*(F48-G48)</f>
        <v>0</v>
      </c>
      <c r="N48" s="66"/>
      <c r="O48" s="14">
        <f>2.8*1000*0.08</f>
        <v>224</v>
      </c>
      <c r="P48" s="14">
        <f t="shared" si="22"/>
        <v>0</v>
      </c>
    </row>
    <row r="49" spans="2:18" s="8" customFormat="1" ht="12.75" hidden="1" customHeight="1" x14ac:dyDescent="0.25">
      <c r="B49" s="45">
        <v>46011</v>
      </c>
      <c r="C49" s="30" t="s">
        <v>429</v>
      </c>
      <c r="D49" s="31" t="s">
        <v>311</v>
      </c>
      <c r="E49" s="31" t="s">
        <v>428</v>
      </c>
      <c r="F49" s="32">
        <v>300</v>
      </c>
      <c r="G49" s="32">
        <v>300</v>
      </c>
      <c r="H49" s="33" t="s">
        <v>414</v>
      </c>
      <c r="I49" s="34">
        <f t="shared" si="23"/>
        <v>1</v>
      </c>
      <c r="J49" s="14">
        <f>F49*100</f>
        <v>30000</v>
      </c>
      <c r="K49" s="14">
        <f t="shared" si="3"/>
        <v>30</v>
      </c>
      <c r="L49" s="15">
        <f t="shared" si="24"/>
        <v>0</v>
      </c>
      <c r="M49" s="14">
        <f>100*(F49-G49)</f>
        <v>0</v>
      </c>
      <c r="N49" s="66"/>
      <c r="O49" s="14">
        <f>2.8*1000*0.1</f>
        <v>280</v>
      </c>
      <c r="P49" s="14">
        <f t="shared" si="22"/>
        <v>0</v>
      </c>
    </row>
    <row r="50" spans="2:18" s="8" customFormat="1" ht="12.75" hidden="1" customHeight="1" x14ac:dyDescent="0.25">
      <c r="B50" s="45">
        <v>46006</v>
      </c>
      <c r="C50" s="30" t="s">
        <v>410</v>
      </c>
      <c r="D50" s="31" t="s">
        <v>100</v>
      </c>
      <c r="E50" s="31" t="s">
        <v>412</v>
      </c>
      <c r="F50" s="32">
        <v>300</v>
      </c>
      <c r="G50" s="32">
        <v>300</v>
      </c>
      <c r="H50" s="33" t="s">
        <v>414</v>
      </c>
      <c r="I50" s="34">
        <f t="shared" ref="I50:I61" si="26">IFERROR(G50/F50,0)</f>
        <v>1</v>
      </c>
      <c r="J50" s="14">
        <f>F50*10</f>
        <v>3000</v>
      </c>
      <c r="K50" s="14">
        <f t="shared" si="3"/>
        <v>3</v>
      </c>
      <c r="L50" s="15">
        <f t="shared" ref="L50:L67" si="27">M50/1000</f>
        <v>0</v>
      </c>
      <c r="M50" s="14">
        <f>10*(F50-G50)</f>
        <v>0</v>
      </c>
      <c r="N50" s="66"/>
      <c r="O50" s="14">
        <f>2.8*1000*0.1</f>
        <v>280</v>
      </c>
      <c r="P50" s="14">
        <f t="shared" si="22"/>
        <v>0</v>
      </c>
    </row>
    <row r="51" spans="2:18" s="8" customFormat="1" ht="12.75" hidden="1" customHeight="1" x14ac:dyDescent="0.25">
      <c r="B51" s="45">
        <v>46006</v>
      </c>
      <c r="C51" s="30" t="s">
        <v>410</v>
      </c>
      <c r="D51" s="31" t="s">
        <v>92</v>
      </c>
      <c r="E51" s="31" t="s">
        <v>412</v>
      </c>
      <c r="F51" s="32">
        <v>700</v>
      </c>
      <c r="G51" s="32">
        <v>700</v>
      </c>
      <c r="H51" s="33" t="s">
        <v>414</v>
      </c>
      <c r="I51" s="34">
        <f t="shared" si="26"/>
        <v>1</v>
      </c>
      <c r="J51" s="14">
        <f>F51*8</f>
        <v>5600</v>
      </c>
      <c r="K51" s="14">
        <f t="shared" si="3"/>
        <v>5.6</v>
      </c>
      <c r="L51" s="15">
        <f t="shared" si="27"/>
        <v>0</v>
      </c>
      <c r="M51" s="14">
        <f>8*(F51-G51)</f>
        <v>0</v>
      </c>
      <c r="N51" s="66"/>
      <c r="O51" s="14">
        <f>2.8*1000*0.08</f>
        <v>224</v>
      </c>
      <c r="P51" s="14">
        <f t="shared" si="22"/>
        <v>0</v>
      </c>
    </row>
    <row r="52" spans="2:18" s="8" customFormat="1" ht="12.75" hidden="1" customHeight="1" x14ac:dyDescent="0.25">
      <c r="B52" s="45">
        <v>46006</v>
      </c>
      <c r="C52" s="30" t="s">
        <v>410</v>
      </c>
      <c r="D52" s="31" t="s">
        <v>75</v>
      </c>
      <c r="E52" s="31" t="s">
        <v>412</v>
      </c>
      <c r="F52" s="32">
        <v>2500</v>
      </c>
      <c r="G52" s="32">
        <v>2500</v>
      </c>
      <c r="H52" s="33" t="s">
        <v>414</v>
      </c>
      <c r="I52" s="34">
        <f t="shared" si="26"/>
        <v>1</v>
      </c>
      <c r="J52" s="14">
        <f>F52*6</f>
        <v>15000</v>
      </c>
      <c r="K52" s="14">
        <f t="shared" si="3"/>
        <v>15</v>
      </c>
      <c r="L52" s="15">
        <f t="shared" si="27"/>
        <v>0</v>
      </c>
      <c r="M52" s="14">
        <f>6*(F52-G52)</f>
        <v>0</v>
      </c>
      <c r="N52" s="66"/>
      <c r="O52" s="14">
        <f>2.93*1000*0.065</f>
        <v>190.45000000000002</v>
      </c>
      <c r="P52" s="14">
        <f t="shared" si="22"/>
        <v>0</v>
      </c>
    </row>
    <row r="53" spans="2:18" s="8" customFormat="1" ht="12.75" hidden="1" customHeight="1" x14ac:dyDescent="0.25">
      <c r="B53" s="45">
        <v>46014</v>
      </c>
      <c r="C53" s="30">
        <v>16</v>
      </c>
      <c r="D53" s="31" t="s">
        <v>21</v>
      </c>
      <c r="E53" s="31" t="s">
        <v>436</v>
      </c>
      <c r="F53" s="32">
        <v>200</v>
      </c>
      <c r="G53" s="32">
        <v>200</v>
      </c>
      <c r="H53" s="33" t="s">
        <v>414</v>
      </c>
      <c r="I53" s="34">
        <f t="shared" ref="I53:I59" si="28">IFERROR(G53/F53,0)</f>
        <v>1</v>
      </c>
      <c r="J53" s="14">
        <f>F53*80</f>
        <v>16000</v>
      </c>
      <c r="K53" s="14">
        <f t="shared" ref="K53:K60" si="29">J53/1000</f>
        <v>16</v>
      </c>
      <c r="L53" s="15">
        <f t="shared" ref="L53:L60" si="30">M53/1000</f>
        <v>0</v>
      </c>
      <c r="M53" s="14">
        <f>80*(F53-G53)</f>
        <v>0</v>
      </c>
      <c r="N53" s="66"/>
      <c r="O53" s="14">
        <f>3*1000*0.08</f>
        <v>240</v>
      </c>
      <c r="P53" s="14">
        <f t="shared" ref="P53:P60" si="31">O53*L53</f>
        <v>0</v>
      </c>
    </row>
    <row r="54" spans="2:18" s="8" customFormat="1" ht="12.75" hidden="1" customHeight="1" x14ac:dyDescent="0.25">
      <c r="B54" s="45">
        <v>46014</v>
      </c>
      <c r="C54" s="30">
        <v>16</v>
      </c>
      <c r="D54" s="31" t="s">
        <v>205</v>
      </c>
      <c r="E54" s="31" t="s">
        <v>436</v>
      </c>
      <c r="F54" s="32">
        <v>300</v>
      </c>
      <c r="G54" s="32">
        <v>300</v>
      </c>
      <c r="H54" s="33" t="s">
        <v>414</v>
      </c>
      <c r="I54" s="34">
        <f t="shared" si="28"/>
        <v>1</v>
      </c>
      <c r="J54" s="14">
        <f>F54*70</f>
        <v>21000</v>
      </c>
      <c r="K54" s="14">
        <f t="shared" si="29"/>
        <v>21</v>
      </c>
      <c r="L54" s="15">
        <f t="shared" si="30"/>
        <v>0</v>
      </c>
      <c r="M54" s="14">
        <f>70*(F54-G54)</f>
        <v>0</v>
      </c>
      <c r="N54" s="66"/>
      <c r="O54" s="14">
        <f>3*1000*0.07</f>
        <v>210.00000000000003</v>
      </c>
      <c r="P54" s="14">
        <f t="shared" si="31"/>
        <v>0</v>
      </c>
    </row>
    <row r="55" spans="2:18" s="8" customFormat="1" ht="12.75" hidden="1" customHeight="1" x14ac:dyDescent="0.25">
      <c r="B55" s="45">
        <v>46014</v>
      </c>
      <c r="C55" s="30">
        <v>16</v>
      </c>
      <c r="D55" s="31" t="s">
        <v>88</v>
      </c>
      <c r="E55" s="31" t="s">
        <v>436</v>
      </c>
      <c r="F55" s="32">
        <v>100</v>
      </c>
      <c r="G55" s="32">
        <v>100</v>
      </c>
      <c r="H55" s="33" t="s">
        <v>414</v>
      </c>
      <c r="I55" s="34">
        <f t="shared" si="28"/>
        <v>1</v>
      </c>
      <c r="J55" s="14">
        <f>F55*6</f>
        <v>600</v>
      </c>
      <c r="K55" s="14">
        <f t="shared" si="29"/>
        <v>0.6</v>
      </c>
      <c r="L55" s="15">
        <f t="shared" si="30"/>
        <v>0</v>
      </c>
      <c r="M55" s="14">
        <f>6*(F55-G55)</f>
        <v>0</v>
      </c>
      <c r="N55" s="66"/>
      <c r="O55" s="14">
        <f>3*1000*0.06</f>
        <v>180</v>
      </c>
      <c r="P55" s="14">
        <f t="shared" si="31"/>
        <v>0</v>
      </c>
    </row>
    <row r="56" spans="2:18" s="8" customFormat="1" ht="12.75" hidden="1" customHeight="1" x14ac:dyDescent="0.25">
      <c r="B56" s="45">
        <v>46014</v>
      </c>
      <c r="C56" s="30">
        <v>16</v>
      </c>
      <c r="D56" s="31" t="s">
        <v>96</v>
      </c>
      <c r="E56" s="31" t="s">
        <v>436</v>
      </c>
      <c r="F56" s="32">
        <v>100</v>
      </c>
      <c r="G56" s="32">
        <v>100</v>
      </c>
      <c r="H56" s="33" t="s">
        <v>414</v>
      </c>
      <c r="I56" s="34">
        <f t="shared" si="28"/>
        <v>1</v>
      </c>
      <c r="J56" s="14">
        <f>F56*8</f>
        <v>800</v>
      </c>
      <c r="K56" s="14">
        <f t="shared" si="29"/>
        <v>0.8</v>
      </c>
      <c r="L56" s="15">
        <f t="shared" si="30"/>
        <v>0</v>
      </c>
      <c r="M56" s="14">
        <f>8*(F56-G56)</f>
        <v>0</v>
      </c>
      <c r="N56" s="66"/>
      <c r="O56" s="14">
        <f>3*1000*0.08</f>
        <v>240</v>
      </c>
      <c r="P56" s="14">
        <f t="shared" si="31"/>
        <v>0</v>
      </c>
    </row>
    <row r="57" spans="2:18" s="8" customFormat="1" ht="12.75" hidden="1" customHeight="1" x14ac:dyDescent="0.25">
      <c r="B57" s="45">
        <v>46014</v>
      </c>
      <c r="C57" s="30">
        <v>16</v>
      </c>
      <c r="D57" s="31" t="s">
        <v>104</v>
      </c>
      <c r="E57" s="31" t="s">
        <v>436</v>
      </c>
      <c r="F57" s="32">
        <v>100</v>
      </c>
      <c r="G57" s="32">
        <v>100</v>
      </c>
      <c r="H57" s="33" t="s">
        <v>414</v>
      </c>
      <c r="I57" s="34">
        <f t="shared" si="28"/>
        <v>1</v>
      </c>
      <c r="J57" s="14">
        <f>F57*10</f>
        <v>1000</v>
      </c>
      <c r="K57" s="14">
        <f t="shared" si="29"/>
        <v>1</v>
      </c>
      <c r="L57" s="15">
        <f t="shared" si="30"/>
        <v>0</v>
      </c>
      <c r="M57" s="14">
        <f>10*(F57-G57)</f>
        <v>0</v>
      </c>
      <c r="N57" s="66"/>
      <c r="O57" s="14">
        <f>3*1000*0.1</f>
        <v>300</v>
      </c>
      <c r="P57" s="14">
        <f t="shared" si="31"/>
        <v>0</v>
      </c>
    </row>
    <row r="58" spans="2:18" s="8" customFormat="1" ht="12.75" hidden="1" customHeight="1" x14ac:dyDescent="0.25">
      <c r="B58" s="45">
        <v>46014</v>
      </c>
      <c r="C58" s="30">
        <v>16</v>
      </c>
      <c r="D58" s="31" t="s">
        <v>112</v>
      </c>
      <c r="E58" s="31" t="s">
        <v>436</v>
      </c>
      <c r="F58" s="32">
        <v>100</v>
      </c>
      <c r="G58" s="32">
        <v>100</v>
      </c>
      <c r="H58" s="33" t="s">
        <v>414</v>
      </c>
      <c r="I58" s="34">
        <f t="shared" si="28"/>
        <v>1</v>
      </c>
      <c r="J58" s="14">
        <f>F58*12</f>
        <v>1200</v>
      </c>
      <c r="K58" s="14">
        <f t="shared" si="29"/>
        <v>1.2</v>
      </c>
      <c r="L58" s="15">
        <f t="shared" si="30"/>
        <v>0</v>
      </c>
      <c r="M58" s="14">
        <f>20*(F58-G58)</f>
        <v>0</v>
      </c>
      <c r="N58" s="66"/>
      <c r="O58" s="14">
        <f t="shared" si="25"/>
        <v>270</v>
      </c>
      <c r="P58" s="14">
        <f t="shared" si="31"/>
        <v>0</v>
      </c>
    </row>
    <row r="59" spans="2:18" s="8" customFormat="1" ht="12.75" hidden="1" customHeight="1" x14ac:dyDescent="0.25">
      <c r="B59" s="45">
        <v>46014</v>
      </c>
      <c r="C59" s="30">
        <v>16</v>
      </c>
      <c r="D59" s="31" t="s">
        <v>203</v>
      </c>
      <c r="E59" s="31" t="s">
        <v>436</v>
      </c>
      <c r="F59" s="32">
        <v>200</v>
      </c>
      <c r="G59" s="32">
        <v>200</v>
      </c>
      <c r="H59" s="33" t="s">
        <v>414</v>
      </c>
      <c r="I59" s="34">
        <f t="shared" si="28"/>
        <v>1</v>
      </c>
      <c r="J59" s="14">
        <f>F59*70</f>
        <v>14000</v>
      </c>
      <c r="K59" s="14">
        <f t="shared" si="29"/>
        <v>14</v>
      </c>
      <c r="L59" s="15">
        <f t="shared" si="30"/>
        <v>0</v>
      </c>
      <c r="M59" s="14">
        <f>70*(F59-G59)</f>
        <v>0</v>
      </c>
      <c r="N59" s="66"/>
      <c r="O59" s="14">
        <f>2.8*1000*0.09</f>
        <v>252</v>
      </c>
      <c r="P59" s="14">
        <f t="shared" si="31"/>
        <v>0</v>
      </c>
    </row>
    <row r="60" spans="2:18" s="8" customFormat="1" ht="12.75" hidden="1" customHeight="1" x14ac:dyDescent="0.25">
      <c r="B60" s="45">
        <v>46011</v>
      </c>
      <c r="C60" s="30" t="s">
        <v>426</v>
      </c>
      <c r="D60" s="31" t="s">
        <v>418</v>
      </c>
      <c r="E60" s="31" t="s">
        <v>437</v>
      </c>
      <c r="F60" s="32">
        <v>8000</v>
      </c>
      <c r="G60" s="32">
        <v>8000</v>
      </c>
      <c r="H60" s="33" t="s">
        <v>414</v>
      </c>
      <c r="I60" s="34">
        <f t="shared" ref="I60" si="32">IFERROR(G60/F60,0)</f>
        <v>1</v>
      </c>
      <c r="J60" s="14">
        <f>F60*6</f>
        <v>48000</v>
      </c>
      <c r="K60" s="14">
        <f t="shared" si="29"/>
        <v>48</v>
      </c>
      <c r="L60" s="15">
        <f t="shared" si="30"/>
        <v>0</v>
      </c>
      <c r="M60" s="14">
        <f>6*(F60-G60)</f>
        <v>0</v>
      </c>
      <c r="N60" s="66"/>
      <c r="O60" s="14">
        <f>2.7*1000*0.065</f>
        <v>175.5</v>
      </c>
      <c r="P60" s="14">
        <f t="shared" si="31"/>
        <v>0</v>
      </c>
    </row>
    <row r="61" spans="2:18" s="8" customFormat="1" ht="12.75" hidden="1" customHeight="1" x14ac:dyDescent="0.25">
      <c r="B61" s="45">
        <v>46006</v>
      </c>
      <c r="C61" s="30" t="s">
        <v>410</v>
      </c>
      <c r="D61" s="31" t="s">
        <v>418</v>
      </c>
      <c r="E61" s="31" t="s">
        <v>412</v>
      </c>
      <c r="F61" s="32">
        <v>1000</v>
      </c>
      <c r="G61" s="32">
        <v>1000</v>
      </c>
      <c r="H61" s="33" t="s">
        <v>414</v>
      </c>
      <c r="I61" s="34">
        <f t="shared" si="26"/>
        <v>1</v>
      </c>
      <c r="J61" s="14">
        <f>F61*6</f>
        <v>6000</v>
      </c>
      <c r="K61" s="14">
        <f t="shared" si="3"/>
        <v>6</v>
      </c>
      <c r="L61" s="15">
        <f t="shared" si="27"/>
        <v>0</v>
      </c>
      <c r="M61" s="14">
        <f>6*(F61-G61)</f>
        <v>0</v>
      </c>
      <c r="N61" s="66"/>
      <c r="O61" s="14">
        <f>2.7*1000*0.065</f>
        <v>175.5</v>
      </c>
      <c r="P61" s="14">
        <f t="shared" si="22"/>
        <v>0</v>
      </c>
      <c r="R61" s="9"/>
    </row>
    <row r="62" spans="2:18" s="8" customFormat="1" ht="12.75" hidden="1" customHeight="1" x14ac:dyDescent="0.25">
      <c r="B62" s="45">
        <v>46006</v>
      </c>
      <c r="C62" s="30" t="s">
        <v>410</v>
      </c>
      <c r="D62" s="31" t="s">
        <v>27</v>
      </c>
      <c r="E62" s="31" t="s">
        <v>412</v>
      </c>
      <c r="F62" s="32">
        <v>400</v>
      </c>
      <c r="G62" s="32">
        <v>400</v>
      </c>
      <c r="H62" s="33" t="s">
        <v>414</v>
      </c>
      <c r="I62" s="34">
        <f t="shared" ref="I62:I66" si="33">IFERROR(G62/F62,0)</f>
        <v>1</v>
      </c>
      <c r="J62" s="14">
        <f>F62*80</f>
        <v>32000</v>
      </c>
      <c r="K62" s="14">
        <f t="shared" si="3"/>
        <v>32</v>
      </c>
      <c r="L62" s="15">
        <f t="shared" si="27"/>
        <v>0</v>
      </c>
      <c r="M62" s="14">
        <f>80*(F62-G62)</f>
        <v>0</v>
      </c>
      <c r="N62" s="66"/>
      <c r="O62" s="14">
        <f>3.3*1000*0.08</f>
        <v>264</v>
      </c>
      <c r="P62" s="14">
        <f t="shared" si="22"/>
        <v>0</v>
      </c>
      <c r="R62" s="9"/>
    </row>
    <row r="63" spans="2:18" s="8" customFormat="1" ht="12.75" hidden="1" customHeight="1" x14ac:dyDescent="0.25">
      <c r="B63" s="45">
        <v>46006</v>
      </c>
      <c r="C63" s="30" t="s">
        <v>410</v>
      </c>
      <c r="D63" s="31" t="s">
        <v>211</v>
      </c>
      <c r="E63" s="31" t="s">
        <v>412</v>
      </c>
      <c r="F63" s="32">
        <v>350</v>
      </c>
      <c r="G63" s="32">
        <v>350</v>
      </c>
      <c r="H63" s="33" t="s">
        <v>414</v>
      </c>
      <c r="I63" s="34">
        <f t="shared" si="33"/>
        <v>1</v>
      </c>
      <c r="J63" s="14">
        <f>F63*70</f>
        <v>24500</v>
      </c>
      <c r="K63" s="14">
        <f t="shared" si="3"/>
        <v>24.5</v>
      </c>
      <c r="L63" s="15">
        <f t="shared" si="27"/>
        <v>0</v>
      </c>
      <c r="M63" s="14">
        <f>70*(F63-G63)</f>
        <v>0</v>
      </c>
      <c r="N63" s="66"/>
      <c r="O63" s="14">
        <f>3.6*1000*0.07</f>
        <v>252.00000000000003</v>
      </c>
      <c r="P63" s="14">
        <f t="shared" si="22"/>
        <v>0</v>
      </c>
      <c r="R63" s="9"/>
    </row>
    <row r="64" spans="2:18" s="8" customFormat="1" ht="12.75" hidden="1" customHeight="1" x14ac:dyDescent="0.25">
      <c r="B64" s="45">
        <v>46006</v>
      </c>
      <c r="C64" s="30" t="s">
        <v>410</v>
      </c>
      <c r="D64" s="31" t="s">
        <v>25</v>
      </c>
      <c r="E64" s="31" t="s">
        <v>412</v>
      </c>
      <c r="F64" s="32">
        <v>600</v>
      </c>
      <c r="G64" s="32">
        <v>600</v>
      </c>
      <c r="H64" s="33" t="s">
        <v>414</v>
      </c>
      <c r="I64" s="34">
        <f t="shared" si="33"/>
        <v>1</v>
      </c>
      <c r="J64" s="14">
        <f>F64*80</f>
        <v>48000</v>
      </c>
      <c r="K64" s="14">
        <f t="shared" ref="K64:K69" si="34">J64/1000</f>
        <v>48</v>
      </c>
      <c r="L64" s="15">
        <f>M64/1000</f>
        <v>0</v>
      </c>
      <c r="M64" s="14">
        <f>80*(F64-G64)</f>
        <v>0</v>
      </c>
      <c r="N64" s="66"/>
      <c r="O64" s="14">
        <f>3.2*1000*0.08</f>
        <v>256</v>
      </c>
      <c r="P64" s="14">
        <f>O64*L64</f>
        <v>0</v>
      </c>
      <c r="R64" s="9"/>
    </row>
    <row r="65" spans="2:18" s="8" customFormat="1" ht="12.75" hidden="1" customHeight="1" x14ac:dyDescent="0.25">
      <c r="B65" s="45">
        <v>46006</v>
      </c>
      <c r="C65" s="30" t="s">
        <v>410</v>
      </c>
      <c r="D65" s="31" t="s">
        <v>207</v>
      </c>
      <c r="E65" s="31" t="s">
        <v>412</v>
      </c>
      <c r="F65" s="32">
        <v>700</v>
      </c>
      <c r="G65" s="32">
        <v>700</v>
      </c>
      <c r="H65" s="33" t="s">
        <v>414</v>
      </c>
      <c r="I65" s="34">
        <f t="shared" si="33"/>
        <v>1</v>
      </c>
      <c r="J65" s="14">
        <f>F65*70</f>
        <v>49000</v>
      </c>
      <c r="K65" s="14">
        <f t="shared" si="34"/>
        <v>49</v>
      </c>
      <c r="L65" s="15">
        <f>M65/1000</f>
        <v>0</v>
      </c>
      <c r="M65" s="14">
        <f>70*(F65-G65)</f>
        <v>0</v>
      </c>
      <c r="N65" s="66"/>
      <c r="O65" s="14">
        <f>3.2*1000*0.07</f>
        <v>224.00000000000003</v>
      </c>
      <c r="P65" s="14">
        <f>O65*L65</f>
        <v>0</v>
      </c>
      <c r="R65" s="9"/>
    </row>
    <row r="66" spans="2:18" s="8" customFormat="1" ht="12.75" hidden="1" customHeight="1" x14ac:dyDescent="0.25">
      <c r="B66" s="45">
        <v>46006</v>
      </c>
      <c r="C66" s="30" t="s">
        <v>410</v>
      </c>
      <c r="D66" s="31" t="s">
        <v>209</v>
      </c>
      <c r="E66" s="31" t="s">
        <v>412</v>
      </c>
      <c r="F66" s="32">
        <v>500</v>
      </c>
      <c r="G66" s="32">
        <v>500</v>
      </c>
      <c r="H66" s="33" t="s">
        <v>414</v>
      </c>
      <c r="I66" s="34">
        <f t="shared" si="33"/>
        <v>1</v>
      </c>
      <c r="J66" s="14">
        <f>F66*70</f>
        <v>35000</v>
      </c>
      <c r="K66" s="14">
        <f>J66/1000</f>
        <v>35</v>
      </c>
      <c r="L66" s="15">
        <f>M66/1000</f>
        <v>0</v>
      </c>
      <c r="M66" s="14">
        <f>70*(F66-G66)</f>
        <v>0</v>
      </c>
      <c r="N66" s="66"/>
      <c r="O66" s="14">
        <f>3.3*1000*0.07</f>
        <v>231.00000000000003</v>
      </c>
      <c r="P66" s="14">
        <f>O66*L66</f>
        <v>0</v>
      </c>
      <c r="R66" s="9"/>
    </row>
    <row r="67" spans="2:18" s="8" customFormat="1" ht="12.75" hidden="1" customHeight="1" x14ac:dyDescent="0.25">
      <c r="B67" s="45">
        <v>46036</v>
      </c>
      <c r="C67" s="30">
        <v>45000458369</v>
      </c>
      <c r="D67" s="31" t="s">
        <v>41</v>
      </c>
      <c r="E67" s="31" t="s">
        <v>452</v>
      </c>
      <c r="F67" s="32">
        <v>2000</v>
      </c>
      <c r="G67" s="32">
        <v>2000</v>
      </c>
      <c r="H67" s="33" t="s">
        <v>414</v>
      </c>
      <c r="I67" s="34">
        <f t="shared" ref="I67:I156" si="35">IFERROR(G67/F67,0)</f>
        <v>1</v>
      </c>
      <c r="J67" s="14">
        <f>F67*6</f>
        <v>12000</v>
      </c>
      <c r="K67" s="14">
        <f t="shared" si="34"/>
        <v>12</v>
      </c>
      <c r="L67" s="15">
        <f t="shared" si="27"/>
        <v>0</v>
      </c>
      <c r="M67" s="14">
        <f>6*(F67-G67)</f>
        <v>0</v>
      </c>
      <c r="N67" s="66"/>
      <c r="O67" s="14">
        <f>2.7*1000*0.09</f>
        <v>243</v>
      </c>
      <c r="P67" s="14"/>
      <c r="R67" s="9"/>
    </row>
    <row r="68" spans="2:18" s="8" customFormat="1" ht="12.75" hidden="1" customHeight="1" x14ac:dyDescent="0.25">
      <c r="B68" s="45">
        <v>46036</v>
      </c>
      <c r="C68" s="30">
        <v>45000458369</v>
      </c>
      <c r="D68" s="31" t="s">
        <v>445</v>
      </c>
      <c r="E68" s="31" t="s">
        <v>452</v>
      </c>
      <c r="F68" s="32">
        <v>1000</v>
      </c>
      <c r="G68" s="32">
        <v>1000</v>
      </c>
      <c r="H68" s="33" t="s">
        <v>414</v>
      </c>
      <c r="I68" s="34">
        <f>IFERROR(G68/F68,0)</f>
        <v>1</v>
      </c>
      <c r="J68" s="14">
        <f>F68*15</f>
        <v>15000</v>
      </c>
      <c r="K68" s="14">
        <f t="shared" si="34"/>
        <v>15</v>
      </c>
      <c r="L68" s="15">
        <f>M68/1000</f>
        <v>0</v>
      </c>
      <c r="M68" s="14">
        <f>15*(F68-G68)</f>
        <v>0</v>
      </c>
      <c r="N68" s="66"/>
      <c r="O68" s="14">
        <f>3.85*1000*0.15</f>
        <v>577.5</v>
      </c>
      <c r="P68" s="14">
        <f>O68*L68</f>
        <v>0</v>
      </c>
      <c r="R68" s="9"/>
    </row>
    <row r="69" spans="2:18" s="8" customFormat="1" ht="12.75" hidden="1" customHeight="1" x14ac:dyDescent="0.25">
      <c r="B69" s="45">
        <v>46036</v>
      </c>
      <c r="C69" s="30">
        <v>45000458369</v>
      </c>
      <c r="D69" s="31" t="s">
        <v>37</v>
      </c>
      <c r="E69" s="31" t="s">
        <v>452</v>
      </c>
      <c r="F69" s="32">
        <v>1000</v>
      </c>
      <c r="G69" s="32">
        <v>1000</v>
      </c>
      <c r="H69" s="33" t="s">
        <v>414</v>
      </c>
      <c r="I69" s="34">
        <f>IFERROR(G69/F69,0)</f>
        <v>1</v>
      </c>
      <c r="J69" s="14">
        <f>F69*4</f>
        <v>4000</v>
      </c>
      <c r="K69" s="14">
        <f t="shared" si="34"/>
        <v>4</v>
      </c>
      <c r="L69" s="15">
        <f>M69/1000</f>
        <v>0</v>
      </c>
      <c r="M69" s="14">
        <f>8*(F69-G69)</f>
        <v>0</v>
      </c>
      <c r="N69" s="66"/>
      <c r="O69" s="14">
        <f>2.7*1000*0.04</f>
        <v>108</v>
      </c>
      <c r="P69" s="14">
        <f>O69*L69</f>
        <v>0</v>
      </c>
      <c r="R69" s="9"/>
    </row>
    <row r="70" spans="2:18" s="8" customFormat="1" ht="12.75" hidden="1" customHeight="1" x14ac:dyDescent="0.25">
      <c r="B70" s="45">
        <v>46036</v>
      </c>
      <c r="C70" s="30">
        <v>45000458369</v>
      </c>
      <c r="D70" s="31" t="s">
        <v>45</v>
      </c>
      <c r="E70" s="31" t="s">
        <v>452</v>
      </c>
      <c r="F70" s="32">
        <v>5000</v>
      </c>
      <c r="G70" s="32">
        <v>5000</v>
      </c>
      <c r="H70" s="33" t="s">
        <v>414</v>
      </c>
      <c r="I70" s="34">
        <f>IFERROR(G70/F70,0)</f>
        <v>1</v>
      </c>
      <c r="J70" s="14">
        <f>F70*10</f>
        <v>50000</v>
      </c>
      <c r="K70" s="14">
        <f>J70/1000</f>
        <v>50</v>
      </c>
      <c r="L70" s="15">
        <f>M70/1000</f>
        <v>0</v>
      </c>
      <c r="M70" s="14">
        <f>10*(F70-G70)</f>
        <v>0</v>
      </c>
      <c r="N70" s="66"/>
      <c r="O70" s="14">
        <f>2.7*1000*0.1</f>
        <v>270</v>
      </c>
      <c r="P70" s="14">
        <f>O70*L70</f>
        <v>0</v>
      </c>
      <c r="R70" s="9"/>
    </row>
    <row r="71" spans="2:18" s="8" customFormat="1" ht="12.75" hidden="1" customHeight="1" x14ac:dyDescent="0.25">
      <c r="B71" s="45">
        <v>46036</v>
      </c>
      <c r="C71" s="30">
        <v>45000458369</v>
      </c>
      <c r="D71" s="31" t="s">
        <v>47</v>
      </c>
      <c r="E71" s="31" t="s">
        <v>452</v>
      </c>
      <c r="F71" s="32">
        <v>2000</v>
      </c>
      <c r="G71" s="32">
        <v>2000</v>
      </c>
      <c r="H71" s="33" t="s">
        <v>414</v>
      </c>
      <c r="I71" s="34">
        <f t="shared" ref="I71:I150" si="36">IFERROR(G71/F71,0)</f>
        <v>1</v>
      </c>
      <c r="J71" s="14">
        <f>F71*12</f>
        <v>24000</v>
      </c>
      <c r="K71" s="14">
        <f t="shared" ref="K71" si="37">J71/1000</f>
        <v>24</v>
      </c>
      <c r="L71" s="15">
        <f t="shared" ref="L71" si="38">M71/1000</f>
        <v>0</v>
      </c>
      <c r="M71" s="14">
        <f>12*(F71-G71)</f>
        <v>0</v>
      </c>
      <c r="N71" s="66">
        <v>2.7</v>
      </c>
      <c r="O71" s="14">
        <f>2.7*1000*0.12</f>
        <v>324</v>
      </c>
      <c r="P71" s="14">
        <f t="shared" ref="P71" si="39">O71*L71</f>
        <v>0</v>
      </c>
      <c r="R71" s="59"/>
    </row>
    <row r="72" spans="2:18" s="8" customFormat="1" ht="12.75" hidden="1" customHeight="1" x14ac:dyDescent="0.25">
      <c r="B72" s="45">
        <v>46036</v>
      </c>
      <c r="C72" s="30">
        <v>45000458369</v>
      </c>
      <c r="D72" s="31" t="s">
        <v>51</v>
      </c>
      <c r="E72" s="31" t="s">
        <v>452</v>
      </c>
      <c r="F72" s="32">
        <v>3000</v>
      </c>
      <c r="G72" s="32">
        <v>3000</v>
      </c>
      <c r="H72" s="33" t="s">
        <v>414</v>
      </c>
      <c r="I72" s="34">
        <f t="shared" si="36"/>
        <v>1</v>
      </c>
      <c r="J72" s="14">
        <f>F72*20</f>
        <v>60000</v>
      </c>
      <c r="K72" s="14">
        <f t="shared" ref="K72" si="40">J72/1000</f>
        <v>60</v>
      </c>
      <c r="L72" s="15">
        <f t="shared" ref="L72" si="41">M72/1000</f>
        <v>0</v>
      </c>
      <c r="M72" s="14">
        <f>20*(F72-G72)</f>
        <v>0</v>
      </c>
      <c r="N72" s="66">
        <v>2.7</v>
      </c>
      <c r="O72" s="14">
        <f>2.7*1000*0.2</f>
        <v>540</v>
      </c>
      <c r="P72" s="14">
        <f t="shared" ref="P72" si="42">O72*L72</f>
        <v>0</v>
      </c>
      <c r="R72" s="59"/>
    </row>
    <row r="73" spans="2:18" s="8" customFormat="1" ht="12.75" hidden="1" customHeight="1" x14ac:dyDescent="0.25">
      <c r="B73" s="45">
        <v>46036</v>
      </c>
      <c r="C73" s="30">
        <v>45000458369</v>
      </c>
      <c r="D73" s="31" t="s">
        <v>444</v>
      </c>
      <c r="E73" s="31" t="s">
        <v>452</v>
      </c>
      <c r="F73" s="32">
        <v>1000</v>
      </c>
      <c r="G73" s="32">
        <v>1000</v>
      </c>
      <c r="H73" s="33" t="s">
        <v>414</v>
      </c>
      <c r="I73" s="34">
        <f t="shared" ref="I73:I107" si="43">IFERROR(G73/F73,0)</f>
        <v>1</v>
      </c>
      <c r="J73" s="14">
        <f>F73*20</f>
        <v>20000</v>
      </c>
      <c r="K73" s="14">
        <f t="shared" ref="K73:K91" si="44">J73/1000</f>
        <v>20</v>
      </c>
      <c r="L73" s="15">
        <f t="shared" ref="L73:L91" si="45">M73/1000</f>
        <v>0</v>
      </c>
      <c r="M73" s="14">
        <f>20*(F73-G73)</f>
        <v>0</v>
      </c>
      <c r="N73" s="66">
        <v>3.85</v>
      </c>
      <c r="O73" s="14">
        <f>3.85*1000*0.2</f>
        <v>770</v>
      </c>
      <c r="P73" s="14">
        <f t="shared" ref="P73:P91" si="46">O73*L73</f>
        <v>0</v>
      </c>
      <c r="R73" s="9"/>
    </row>
    <row r="74" spans="2:18" s="8" customFormat="1" ht="12.75" hidden="1" customHeight="1" x14ac:dyDescent="0.25">
      <c r="B74" s="45">
        <v>46036</v>
      </c>
      <c r="C74" s="30">
        <v>45000458369</v>
      </c>
      <c r="D74" s="31" t="s">
        <v>443</v>
      </c>
      <c r="E74" s="31" t="s">
        <v>452</v>
      </c>
      <c r="F74" s="32">
        <v>2000</v>
      </c>
      <c r="G74" s="32">
        <v>2000</v>
      </c>
      <c r="H74" s="33" t="s">
        <v>414</v>
      </c>
      <c r="I74" s="34">
        <f t="shared" si="43"/>
        <v>1</v>
      </c>
      <c r="J74" s="14">
        <f>F74*10</f>
        <v>20000</v>
      </c>
      <c r="K74" s="14">
        <f t="shared" si="44"/>
        <v>20</v>
      </c>
      <c r="L74" s="15">
        <f t="shared" si="45"/>
        <v>0</v>
      </c>
      <c r="M74" s="14">
        <f>10*(F74-G74)</f>
        <v>0</v>
      </c>
      <c r="N74" s="66">
        <v>3.85</v>
      </c>
      <c r="O74" s="14">
        <f>2.7*1000*0.1</f>
        <v>270</v>
      </c>
      <c r="P74" s="14">
        <f t="shared" si="46"/>
        <v>0</v>
      </c>
      <c r="R74" s="9"/>
    </row>
    <row r="75" spans="2:18" s="8" customFormat="1" ht="12.75" hidden="1" customHeight="1" x14ac:dyDescent="0.25">
      <c r="B75" s="45">
        <v>46036</v>
      </c>
      <c r="C75" s="30">
        <v>45000458369</v>
      </c>
      <c r="D75" s="31" t="s">
        <v>49</v>
      </c>
      <c r="E75" s="31" t="s">
        <v>452</v>
      </c>
      <c r="F75" s="32">
        <v>3000</v>
      </c>
      <c r="G75" s="32">
        <v>3000</v>
      </c>
      <c r="H75" s="33" t="s">
        <v>414</v>
      </c>
      <c r="I75" s="34">
        <f t="shared" ref="I75:I83" si="47">IFERROR(G75/F75,0)</f>
        <v>1</v>
      </c>
      <c r="J75" s="14">
        <f>F75*15</f>
        <v>45000</v>
      </c>
      <c r="K75" s="14">
        <f t="shared" ref="K75:K83" si="48">J75/1000</f>
        <v>45</v>
      </c>
      <c r="L75" s="15">
        <f t="shared" ref="L75:L83" si="49">M75/1000</f>
        <v>0</v>
      </c>
      <c r="M75" s="14">
        <f>15*(F75-G75)</f>
        <v>0</v>
      </c>
      <c r="N75" s="66">
        <v>2.7</v>
      </c>
      <c r="O75" s="14">
        <f>2.7*1000*0.15</f>
        <v>405</v>
      </c>
      <c r="P75" s="14">
        <f t="shared" ref="P75:P83" si="50">O75*L75</f>
        <v>0</v>
      </c>
      <c r="R75" s="59"/>
    </row>
    <row r="76" spans="2:18" s="8" customFormat="1" ht="12.75" hidden="1" customHeight="1" x14ac:dyDescent="0.25">
      <c r="B76" s="45">
        <v>46043</v>
      </c>
      <c r="C76" s="78" t="s">
        <v>470</v>
      </c>
      <c r="D76" s="31" t="s">
        <v>21</v>
      </c>
      <c r="E76" s="31" t="s">
        <v>451</v>
      </c>
      <c r="F76" s="32">
        <v>200</v>
      </c>
      <c r="G76" s="32">
        <v>200</v>
      </c>
      <c r="H76" s="33" t="s">
        <v>414</v>
      </c>
      <c r="I76" s="34">
        <f t="shared" si="47"/>
        <v>1</v>
      </c>
      <c r="J76" s="14">
        <f>F76*80</f>
        <v>16000</v>
      </c>
      <c r="K76" s="14">
        <f t="shared" si="48"/>
        <v>16</v>
      </c>
      <c r="L76" s="15">
        <f t="shared" si="49"/>
        <v>0</v>
      </c>
      <c r="M76" s="14">
        <f>80*(F76-G76)</f>
        <v>0</v>
      </c>
      <c r="N76" s="66">
        <v>3</v>
      </c>
      <c r="O76" s="14">
        <f t="shared" ref="O76:O85" si="51">3*1000*0.09</f>
        <v>270</v>
      </c>
      <c r="P76" s="14">
        <f t="shared" si="50"/>
        <v>0</v>
      </c>
      <c r="R76" s="59"/>
    </row>
    <row r="77" spans="2:18" s="8" customFormat="1" ht="12.75" hidden="1" customHeight="1" x14ac:dyDescent="0.25">
      <c r="B77" s="45">
        <v>46043</v>
      </c>
      <c r="C77" s="78" t="s">
        <v>470</v>
      </c>
      <c r="D77" s="31" t="s">
        <v>205</v>
      </c>
      <c r="E77" s="31" t="s">
        <v>451</v>
      </c>
      <c r="F77" s="32">
        <v>200</v>
      </c>
      <c r="G77" s="32">
        <v>200</v>
      </c>
      <c r="H77" s="33" t="s">
        <v>414</v>
      </c>
      <c r="I77" s="34">
        <f t="shared" si="47"/>
        <v>1</v>
      </c>
      <c r="J77" s="14">
        <f>F77*70</f>
        <v>14000</v>
      </c>
      <c r="K77" s="14">
        <f t="shared" si="48"/>
        <v>14</v>
      </c>
      <c r="L77" s="15">
        <f t="shared" si="49"/>
        <v>0</v>
      </c>
      <c r="M77" s="14">
        <f>70*(F77-G77)</f>
        <v>0</v>
      </c>
      <c r="N77" s="66">
        <v>3</v>
      </c>
      <c r="O77" s="14">
        <f t="shared" si="51"/>
        <v>270</v>
      </c>
      <c r="P77" s="14">
        <f t="shared" si="50"/>
        <v>0</v>
      </c>
      <c r="R77" s="59"/>
    </row>
    <row r="78" spans="2:18" s="8" customFormat="1" ht="12.75" hidden="1" customHeight="1" x14ac:dyDescent="0.25">
      <c r="B78" s="45">
        <v>46043</v>
      </c>
      <c r="C78" s="78" t="s">
        <v>470</v>
      </c>
      <c r="D78" s="31" t="s">
        <v>86</v>
      </c>
      <c r="E78" s="31" t="s">
        <v>451</v>
      </c>
      <c r="F78" s="32">
        <v>400</v>
      </c>
      <c r="G78" s="32">
        <v>400</v>
      </c>
      <c r="H78" s="33" t="s">
        <v>414</v>
      </c>
      <c r="I78" s="34">
        <f t="shared" si="47"/>
        <v>1</v>
      </c>
      <c r="J78" s="14">
        <f>F78*6</f>
        <v>2400</v>
      </c>
      <c r="K78" s="14">
        <f t="shared" si="48"/>
        <v>2.4</v>
      </c>
      <c r="L78" s="15">
        <f t="shared" si="49"/>
        <v>0</v>
      </c>
      <c r="M78" s="14">
        <f>6*(F78-G78)</f>
        <v>0</v>
      </c>
      <c r="N78" s="66">
        <v>2.8</v>
      </c>
      <c r="O78" s="14">
        <f>2.8*1000*0.06</f>
        <v>168</v>
      </c>
      <c r="P78" s="14">
        <f t="shared" si="50"/>
        <v>0</v>
      </c>
      <c r="R78" s="59"/>
    </row>
    <row r="79" spans="2:18" s="8" customFormat="1" ht="12.75" hidden="1" customHeight="1" x14ac:dyDescent="0.25">
      <c r="B79" s="45">
        <v>46043</v>
      </c>
      <c r="C79" s="78" t="s">
        <v>470</v>
      </c>
      <c r="D79" s="31" t="s">
        <v>25</v>
      </c>
      <c r="E79" s="31" t="s">
        <v>451</v>
      </c>
      <c r="F79" s="32">
        <v>100</v>
      </c>
      <c r="G79" s="32">
        <v>100</v>
      </c>
      <c r="H79" s="33" t="s">
        <v>414</v>
      </c>
      <c r="I79" s="34">
        <f t="shared" si="47"/>
        <v>1</v>
      </c>
      <c r="J79" s="14">
        <f>F79*80</f>
        <v>8000</v>
      </c>
      <c r="K79" s="14">
        <f t="shared" si="48"/>
        <v>8</v>
      </c>
      <c r="L79" s="15">
        <f t="shared" si="49"/>
        <v>0</v>
      </c>
      <c r="M79" s="14">
        <f>80*(F79-G79)</f>
        <v>0</v>
      </c>
      <c r="N79" s="66">
        <v>3.2</v>
      </c>
      <c r="O79" s="14">
        <f>3.2*1000*0.09</f>
        <v>288</v>
      </c>
      <c r="P79" s="14">
        <f t="shared" si="50"/>
        <v>0</v>
      </c>
      <c r="R79" s="59"/>
    </row>
    <row r="80" spans="2:18" s="8" customFormat="1" ht="12.75" hidden="1" customHeight="1" x14ac:dyDescent="0.25">
      <c r="B80" s="45">
        <v>46043</v>
      </c>
      <c r="C80" s="78" t="s">
        <v>470</v>
      </c>
      <c r="D80" s="31" t="s">
        <v>207</v>
      </c>
      <c r="E80" s="31" t="s">
        <v>451</v>
      </c>
      <c r="F80" s="32">
        <v>100</v>
      </c>
      <c r="G80" s="32">
        <v>100</v>
      </c>
      <c r="H80" s="33" t="s">
        <v>414</v>
      </c>
      <c r="I80" s="34">
        <f>IFERROR(G80/F80,0)</f>
        <v>1</v>
      </c>
      <c r="J80" s="14">
        <f>F80*70</f>
        <v>7000</v>
      </c>
      <c r="K80" s="14">
        <f>J80/1000</f>
        <v>7</v>
      </c>
      <c r="L80" s="15">
        <f>M80/1000</f>
        <v>0</v>
      </c>
      <c r="M80" s="14">
        <f>70*(F80-G80)</f>
        <v>0</v>
      </c>
      <c r="N80" s="66">
        <v>3.2</v>
      </c>
      <c r="O80" s="14">
        <f>3.2*1000*0.09</f>
        <v>288</v>
      </c>
      <c r="P80" s="14">
        <f>O80*L80</f>
        <v>0</v>
      </c>
      <c r="R80" s="59"/>
    </row>
    <row r="81" spans="2:18" s="8" customFormat="1" ht="12.75" hidden="1" customHeight="1" x14ac:dyDescent="0.25">
      <c r="B81" s="45">
        <v>46043</v>
      </c>
      <c r="C81" s="78" t="s">
        <v>482</v>
      </c>
      <c r="D81" s="31" t="s">
        <v>41</v>
      </c>
      <c r="E81" s="31" t="s">
        <v>451</v>
      </c>
      <c r="F81" s="32">
        <v>2000</v>
      </c>
      <c r="G81" s="32">
        <v>2000</v>
      </c>
      <c r="H81" s="33" t="s">
        <v>414</v>
      </c>
      <c r="I81" s="34">
        <f t="shared" si="47"/>
        <v>1</v>
      </c>
      <c r="J81" s="14">
        <f>F81*6</f>
        <v>12000</v>
      </c>
      <c r="K81" s="14">
        <f t="shared" si="48"/>
        <v>12</v>
      </c>
      <c r="L81" s="70">
        <f t="shared" si="49"/>
        <v>0</v>
      </c>
      <c r="M81" s="14">
        <f>6*(F81-G81)</f>
        <v>0</v>
      </c>
      <c r="N81" s="66">
        <v>2.7</v>
      </c>
      <c r="O81" s="14">
        <f>2.7*1000*0.06</f>
        <v>162</v>
      </c>
      <c r="P81" s="71">
        <f t="shared" si="50"/>
        <v>0</v>
      </c>
      <c r="R81" s="59"/>
    </row>
    <row r="82" spans="2:18" s="8" customFormat="1" ht="12.75" hidden="1" customHeight="1" x14ac:dyDescent="0.25">
      <c r="B82" s="45">
        <v>46038</v>
      </c>
      <c r="C82" s="78" t="s">
        <v>450</v>
      </c>
      <c r="D82" s="31" t="s">
        <v>239</v>
      </c>
      <c r="E82" s="31" t="s">
        <v>448</v>
      </c>
      <c r="F82" s="32">
        <v>100</v>
      </c>
      <c r="G82" s="32">
        <v>100</v>
      </c>
      <c r="H82" s="33" t="s">
        <v>414</v>
      </c>
      <c r="I82" s="34">
        <f t="shared" si="47"/>
        <v>1</v>
      </c>
      <c r="J82" s="14">
        <f>F82*80</f>
        <v>8000</v>
      </c>
      <c r="K82" s="14">
        <f t="shared" si="48"/>
        <v>8</v>
      </c>
      <c r="L82" s="15">
        <f t="shared" si="49"/>
        <v>0</v>
      </c>
      <c r="M82" s="14">
        <f>80*(F82-G82)</f>
        <v>0</v>
      </c>
      <c r="N82" s="66">
        <v>2.8</v>
      </c>
      <c r="O82" s="14">
        <f>2.8*1000*0.09</f>
        <v>252</v>
      </c>
      <c r="P82" s="14">
        <f t="shared" si="50"/>
        <v>0</v>
      </c>
      <c r="R82" s="59"/>
    </row>
    <row r="83" spans="2:18" s="8" customFormat="1" ht="12.75" hidden="1" customHeight="1" x14ac:dyDescent="0.25">
      <c r="B83" s="45">
        <v>46038</v>
      </c>
      <c r="C83" s="78" t="s">
        <v>450</v>
      </c>
      <c r="D83" s="31" t="s">
        <v>203</v>
      </c>
      <c r="E83" s="31" t="s">
        <v>448</v>
      </c>
      <c r="F83" s="32">
        <v>100</v>
      </c>
      <c r="G83" s="32">
        <v>100</v>
      </c>
      <c r="H83" s="33" t="s">
        <v>414</v>
      </c>
      <c r="I83" s="34">
        <f t="shared" si="47"/>
        <v>1</v>
      </c>
      <c r="J83" s="14">
        <f>F83*70</f>
        <v>7000</v>
      </c>
      <c r="K83" s="14">
        <f t="shared" si="48"/>
        <v>7</v>
      </c>
      <c r="L83" s="15">
        <f t="shared" si="49"/>
        <v>0</v>
      </c>
      <c r="M83" s="14">
        <f>70*(F83-G83)</f>
        <v>0</v>
      </c>
      <c r="N83" s="66">
        <v>2.8</v>
      </c>
      <c r="O83" s="14">
        <f>2.8*1000*0.07</f>
        <v>196.00000000000003</v>
      </c>
      <c r="P83" s="14">
        <f t="shared" si="50"/>
        <v>0</v>
      </c>
      <c r="R83" s="59"/>
    </row>
    <row r="84" spans="2:18" s="8" customFormat="1" ht="12.75" hidden="1" customHeight="1" x14ac:dyDescent="0.25">
      <c r="B84" s="45">
        <v>46038</v>
      </c>
      <c r="C84" s="78" t="s">
        <v>450</v>
      </c>
      <c r="D84" s="31" t="s">
        <v>235</v>
      </c>
      <c r="E84" s="31" t="s">
        <v>448</v>
      </c>
      <c r="F84" s="32">
        <v>50</v>
      </c>
      <c r="G84" s="32">
        <v>50</v>
      </c>
      <c r="H84" s="33" t="s">
        <v>414</v>
      </c>
      <c r="I84" s="34">
        <f t="shared" ref="I84:I89" si="52">IFERROR(G84/F84,0)</f>
        <v>1</v>
      </c>
      <c r="J84" s="14">
        <f>F84*75</f>
        <v>3750</v>
      </c>
      <c r="K84" s="14">
        <f t="shared" ref="K84:K89" si="53">J84/1000</f>
        <v>3.75</v>
      </c>
      <c r="L84" s="15">
        <f t="shared" ref="L84:L89" si="54">M84/1000</f>
        <v>0</v>
      </c>
      <c r="M84" s="14">
        <f>75*(F84-G84)</f>
        <v>0</v>
      </c>
      <c r="N84" s="66">
        <v>3</v>
      </c>
      <c r="O84" s="14">
        <f>3*1000*0.07</f>
        <v>210.00000000000003</v>
      </c>
      <c r="P84" s="14">
        <f t="shared" ref="P84:P89" si="55">O84*L84</f>
        <v>0</v>
      </c>
      <c r="R84" s="59"/>
    </row>
    <row r="85" spans="2:18" s="8" customFormat="1" ht="12.75" hidden="1" customHeight="1" x14ac:dyDescent="0.25">
      <c r="B85" s="45">
        <v>46038</v>
      </c>
      <c r="C85" s="78" t="s">
        <v>450</v>
      </c>
      <c r="D85" s="31" t="s">
        <v>277</v>
      </c>
      <c r="E85" s="31" t="s">
        <v>448</v>
      </c>
      <c r="F85" s="32">
        <v>50</v>
      </c>
      <c r="G85" s="32">
        <v>50</v>
      </c>
      <c r="H85" s="33" t="s">
        <v>414</v>
      </c>
      <c r="I85" s="34">
        <f t="shared" si="52"/>
        <v>1</v>
      </c>
      <c r="J85" s="14">
        <f>F85*90</f>
        <v>4500</v>
      </c>
      <c r="K85" s="14">
        <f t="shared" si="53"/>
        <v>4.5</v>
      </c>
      <c r="L85" s="15">
        <f t="shared" si="54"/>
        <v>0</v>
      </c>
      <c r="M85" s="14">
        <f>90*(F85-G85)</f>
        <v>0</v>
      </c>
      <c r="N85" s="66">
        <v>3</v>
      </c>
      <c r="O85" s="14">
        <f t="shared" si="51"/>
        <v>270</v>
      </c>
      <c r="P85" s="14">
        <f t="shared" si="55"/>
        <v>0</v>
      </c>
      <c r="R85" s="59"/>
    </row>
    <row r="86" spans="2:18" s="8" customFormat="1" ht="12.75" hidden="1" customHeight="1" x14ac:dyDescent="0.25">
      <c r="B86" s="45">
        <v>46038</v>
      </c>
      <c r="C86" s="78" t="s">
        <v>450</v>
      </c>
      <c r="D86" s="31" t="s">
        <v>187</v>
      </c>
      <c r="E86" s="31" t="s">
        <v>448</v>
      </c>
      <c r="F86" s="32">
        <v>150</v>
      </c>
      <c r="G86" s="32">
        <v>150</v>
      </c>
      <c r="H86" s="33" t="s">
        <v>414</v>
      </c>
      <c r="I86" s="34">
        <f t="shared" si="52"/>
        <v>1</v>
      </c>
      <c r="J86" s="14">
        <f>F86*65</f>
        <v>9750</v>
      </c>
      <c r="K86" s="14">
        <f t="shared" si="53"/>
        <v>9.75</v>
      </c>
      <c r="L86" s="15">
        <f t="shared" si="54"/>
        <v>0</v>
      </c>
      <c r="M86" s="14">
        <f>65*(F86-G86)</f>
        <v>0</v>
      </c>
      <c r="N86" s="66">
        <v>3</v>
      </c>
      <c r="O86" s="14">
        <f>N86*1000*0.065</f>
        <v>195</v>
      </c>
      <c r="P86" s="14">
        <f t="shared" si="55"/>
        <v>0</v>
      </c>
      <c r="R86" s="59"/>
    </row>
    <row r="87" spans="2:18" s="8" customFormat="1" ht="12.75" hidden="1" customHeight="1" x14ac:dyDescent="0.25">
      <c r="B87" s="45">
        <v>46050</v>
      </c>
      <c r="C87" s="78" t="s">
        <v>468</v>
      </c>
      <c r="D87" s="31" t="s">
        <v>239</v>
      </c>
      <c r="E87" s="31" t="s">
        <v>466</v>
      </c>
      <c r="F87" s="32">
        <v>200</v>
      </c>
      <c r="G87" s="32">
        <v>200</v>
      </c>
      <c r="H87" s="33" t="s">
        <v>414</v>
      </c>
      <c r="I87" s="34">
        <f t="shared" si="52"/>
        <v>1</v>
      </c>
      <c r="J87" s="14">
        <f>F87*80</f>
        <v>16000</v>
      </c>
      <c r="K87" s="14">
        <f t="shared" si="53"/>
        <v>16</v>
      </c>
      <c r="L87" s="15">
        <f t="shared" si="54"/>
        <v>0</v>
      </c>
      <c r="M87" s="14">
        <f>80*(F87-G87)</f>
        <v>0</v>
      </c>
      <c r="N87" s="66">
        <v>2.8</v>
      </c>
      <c r="O87" s="14">
        <f>N87*1000*0.09</f>
        <v>252</v>
      </c>
      <c r="P87" s="14">
        <f t="shared" si="55"/>
        <v>0</v>
      </c>
      <c r="R87" s="59"/>
    </row>
    <row r="88" spans="2:18" s="8" customFormat="1" ht="12.75" hidden="1" customHeight="1" x14ac:dyDescent="0.25">
      <c r="B88" s="45">
        <v>46050</v>
      </c>
      <c r="C88" s="78" t="s">
        <v>468</v>
      </c>
      <c r="D88" s="31" t="s">
        <v>247</v>
      </c>
      <c r="E88" s="31" t="s">
        <v>466</v>
      </c>
      <c r="F88" s="32">
        <v>800</v>
      </c>
      <c r="G88" s="32">
        <v>800</v>
      </c>
      <c r="H88" s="33" t="s">
        <v>414</v>
      </c>
      <c r="I88" s="34">
        <f t="shared" si="52"/>
        <v>1</v>
      </c>
      <c r="J88" s="14">
        <f>F88*80</f>
        <v>64000</v>
      </c>
      <c r="K88" s="14">
        <f t="shared" si="53"/>
        <v>64</v>
      </c>
      <c r="L88" s="15">
        <f t="shared" si="54"/>
        <v>0</v>
      </c>
      <c r="M88" s="14">
        <f>80*(F88-G88)</f>
        <v>0</v>
      </c>
      <c r="N88" s="66">
        <v>3.6</v>
      </c>
      <c r="O88" s="14">
        <f>N88*1000*0.09</f>
        <v>324</v>
      </c>
      <c r="P88" s="14">
        <f t="shared" si="55"/>
        <v>0</v>
      </c>
      <c r="R88" s="59"/>
    </row>
    <row r="89" spans="2:18" s="8" customFormat="1" ht="12.75" hidden="1" customHeight="1" x14ac:dyDescent="0.25">
      <c r="B89" s="45">
        <v>46050</v>
      </c>
      <c r="C89" s="78" t="s">
        <v>468</v>
      </c>
      <c r="D89" s="31" t="s">
        <v>86</v>
      </c>
      <c r="E89" s="31" t="s">
        <v>466</v>
      </c>
      <c r="F89" s="32">
        <v>1000</v>
      </c>
      <c r="G89" s="32">
        <v>1000</v>
      </c>
      <c r="H89" s="33" t="s">
        <v>414</v>
      </c>
      <c r="I89" s="34">
        <f t="shared" si="52"/>
        <v>1</v>
      </c>
      <c r="J89" s="14">
        <f>F89*6</f>
        <v>6000</v>
      </c>
      <c r="K89" s="14">
        <f t="shared" si="53"/>
        <v>6</v>
      </c>
      <c r="L89" s="15">
        <f t="shared" si="54"/>
        <v>0</v>
      </c>
      <c r="M89" s="14">
        <f>80*(F89-G89)</f>
        <v>0</v>
      </c>
      <c r="N89" s="66">
        <v>2.8</v>
      </c>
      <c r="O89" s="14">
        <f>N89*1000*0.09</f>
        <v>252</v>
      </c>
      <c r="P89" s="14">
        <f t="shared" si="55"/>
        <v>0</v>
      </c>
      <c r="R89" s="59"/>
    </row>
    <row r="90" spans="2:18" s="8" customFormat="1" ht="12.75" hidden="1" customHeight="1" x14ac:dyDescent="0.25">
      <c r="B90" s="45">
        <v>46050</v>
      </c>
      <c r="C90" s="78" t="s">
        <v>468</v>
      </c>
      <c r="D90" s="31" t="s">
        <v>243</v>
      </c>
      <c r="E90" s="31" t="s">
        <v>466</v>
      </c>
      <c r="F90" s="32">
        <v>1000</v>
      </c>
      <c r="G90" s="32">
        <v>1000</v>
      </c>
      <c r="H90" s="33" t="s">
        <v>414</v>
      </c>
      <c r="I90" s="34">
        <f t="shared" si="43"/>
        <v>1</v>
      </c>
      <c r="J90" s="14">
        <f>F90*80</f>
        <v>80000</v>
      </c>
      <c r="K90" s="14">
        <f t="shared" si="44"/>
        <v>80</v>
      </c>
      <c r="L90" s="15">
        <f t="shared" si="45"/>
        <v>0</v>
      </c>
      <c r="M90" s="14">
        <f>80*(F90-G90)</f>
        <v>0</v>
      </c>
      <c r="N90" s="66">
        <v>3.2</v>
      </c>
      <c r="O90" s="14">
        <f>N90*1000*0.09</f>
        <v>288</v>
      </c>
      <c r="P90" s="14">
        <f t="shared" si="46"/>
        <v>0</v>
      </c>
      <c r="R90" s="59"/>
    </row>
    <row r="91" spans="2:18" s="8" customFormat="1" ht="12.75" hidden="1" customHeight="1" x14ac:dyDescent="0.25">
      <c r="B91" s="45">
        <v>46050</v>
      </c>
      <c r="C91" s="78" t="s">
        <v>468</v>
      </c>
      <c r="D91" s="31" t="s">
        <v>41</v>
      </c>
      <c r="E91" s="31" t="s">
        <v>466</v>
      </c>
      <c r="F91" s="32">
        <v>12000</v>
      </c>
      <c r="G91" s="32">
        <v>12000</v>
      </c>
      <c r="H91" s="33" t="s">
        <v>414</v>
      </c>
      <c r="I91" s="34">
        <f t="shared" si="43"/>
        <v>1</v>
      </c>
      <c r="J91" s="14">
        <f>F91*6</f>
        <v>72000</v>
      </c>
      <c r="K91" s="14">
        <f t="shared" si="44"/>
        <v>72</v>
      </c>
      <c r="L91" s="15">
        <f t="shared" si="45"/>
        <v>0</v>
      </c>
      <c r="M91" s="14">
        <f>6*(F91-G91)</f>
        <v>0</v>
      </c>
      <c r="N91" s="66">
        <v>2.7</v>
      </c>
      <c r="O91" s="14">
        <f>N91*1000*0.065</f>
        <v>175.5</v>
      </c>
      <c r="P91" s="14">
        <f t="shared" si="46"/>
        <v>0</v>
      </c>
      <c r="R91" s="59"/>
    </row>
    <row r="92" spans="2:18" s="8" customFormat="1" ht="12.75" hidden="1" customHeight="1" x14ac:dyDescent="0.25">
      <c r="B92" s="45">
        <v>46057</v>
      </c>
      <c r="C92" s="78" t="s">
        <v>471</v>
      </c>
      <c r="D92" s="31" t="s">
        <v>69</v>
      </c>
      <c r="E92" s="31" t="s">
        <v>473</v>
      </c>
      <c r="F92" s="32">
        <v>2000</v>
      </c>
      <c r="G92" s="32">
        <v>2000</v>
      </c>
      <c r="H92" s="33" t="s">
        <v>414</v>
      </c>
      <c r="I92" s="34">
        <f>IFERROR(G92/F92,0)</f>
        <v>1</v>
      </c>
      <c r="J92" s="14">
        <f>F92*12</f>
        <v>24000</v>
      </c>
      <c r="K92" s="14">
        <f>J92/1000</f>
        <v>24</v>
      </c>
      <c r="L92" s="15">
        <f>M92/1000</f>
        <v>0</v>
      </c>
      <c r="M92" s="14">
        <f>12*(F92-G92)</f>
        <v>0</v>
      </c>
      <c r="N92" s="66">
        <v>3.85</v>
      </c>
      <c r="O92" s="14">
        <f>N92*1000*0.065</f>
        <v>250.25</v>
      </c>
      <c r="P92" s="14">
        <f>O92*L92</f>
        <v>0</v>
      </c>
      <c r="R92" s="59"/>
    </row>
    <row r="93" spans="2:18" s="8" customFormat="1" ht="12.75" hidden="1" customHeight="1" x14ac:dyDescent="0.25">
      <c r="B93" s="45">
        <v>46057</v>
      </c>
      <c r="C93" s="78" t="s">
        <v>471</v>
      </c>
      <c r="D93" s="31" t="s">
        <v>71</v>
      </c>
      <c r="E93" s="31" t="s">
        <v>473</v>
      </c>
      <c r="F93" s="32">
        <v>2000</v>
      </c>
      <c r="G93" s="32">
        <v>2000</v>
      </c>
      <c r="H93" s="33" t="s">
        <v>414</v>
      </c>
      <c r="I93" s="34">
        <f>IFERROR(G93/F93,0)</f>
        <v>1</v>
      </c>
      <c r="J93" s="14">
        <f>F93*15</f>
        <v>30000</v>
      </c>
      <c r="K93" s="14">
        <f>J93/1000</f>
        <v>30</v>
      </c>
      <c r="L93" s="15">
        <f>M93/1000</f>
        <v>0</v>
      </c>
      <c r="M93" s="14">
        <f>15*(F93-G93)</f>
        <v>0</v>
      </c>
      <c r="N93" s="66">
        <v>3.85</v>
      </c>
      <c r="O93" s="14">
        <f t="shared" ref="O93:O94" si="56">N93*1000*0.065</f>
        <v>250.25</v>
      </c>
      <c r="P93" s="14">
        <f>O93*L93</f>
        <v>0</v>
      </c>
      <c r="R93" s="59"/>
    </row>
    <row r="94" spans="2:18" s="8" customFormat="1" ht="12.75" hidden="1" customHeight="1" x14ac:dyDescent="0.25">
      <c r="B94" s="45">
        <v>46057</v>
      </c>
      <c r="C94" s="78" t="s">
        <v>471</v>
      </c>
      <c r="D94" s="31" t="s">
        <v>73</v>
      </c>
      <c r="E94" s="31" t="s">
        <v>473</v>
      </c>
      <c r="F94" s="32">
        <v>1000</v>
      </c>
      <c r="G94" s="32">
        <v>1000</v>
      </c>
      <c r="H94" s="33" t="s">
        <v>414</v>
      </c>
      <c r="I94" s="34">
        <f>IFERROR(G94/F94,0)</f>
        <v>1</v>
      </c>
      <c r="J94" s="14">
        <f>F94*20</f>
        <v>20000</v>
      </c>
      <c r="K94" s="14">
        <f>J94/1000</f>
        <v>20</v>
      </c>
      <c r="L94" s="15">
        <f>M94/1000</f>
        <v>0</v>
      </c>
      <c r="M94" s="14">
        <f>20*(F94-G94)</f>
        <v>0</v>
      </c>
      <c r="N94" s="66">
        <v>3.85</v>
      </c>
      <c r="O94" s="14">
        <f t="shared" si="56"/>
        <v>250.25</v>
      </c>
      <c r="P94" s="14">
        <f>O94*L94</f>
        <v>0</v>
      </c>
      <c r="R94" s="59"/>
    </row>
    <row r="95" spans="2:18" s="8" customFormat="1" ht="12.75" hidden="1" customHeight="1" x14ac:dyDescent="0.25">
      <c r="B95" s="45">
        <v>46057</v>
      </c>
      <c r="C95" s="78" t="s">
        <v>471</v>
      </c>
      <c r="D95" s="31" t="s">
        <v>67</v>
      </c>
      <c r="E95" s="31" t="s">
        <v>473</v>
      </c>
      <c r="F95" s="32">
        <v>1000</v>
      </c>
      <c r="G95" s="32">
        <v>1000</v>
      </c>
      <c r="H95" s="33" t="s">
        <v>414</v>
      </c>
      <c r="I95" s="34">
        <f t="shared" si="43"/>
        <v>1</v>
      </c>
      <c r="J95" s="14">
        <f>F95*10</f>
        <v>10000</v>
      </c>
      <c r="K95" s="14">
        <f t="shared" ref="K95" si="57">J95/1000</f>
        <v>10</v>
      </c>
      <c r="L95" s="15">
        <f t="shared" ref="L95" si="58">M95/1000</f>
        <v>0</v>
      </c>
      <c r="M95" s="14">
        <f>10*(F95-G95)</f>
        <v>0</v>
      </c>
      <c r="N95" s="66">
        <v>3.85</v>
      </c>
      <c r="O95" s="14">
        <f>N95*1000*0.065</f>
        <v>250.25</v>
      </c>
      <c r="P95" s="14">
        <f t="shared" ref="P95" si="59">O95*L95</f>
        <v>0</v>
      </c>
      <c r="R95" s="59"/>
    </row>
    <row r="96" spans="2:18" s="8" customFormat="1" ht="12.75" hidden="1" customHeight="1" x14ac:dyDescent="0.25">
      <c r="B96" s="45">
        <v>46059</v>
      </c>
      <c r="C96" s="78" t="s">
        <v>472</v>
      </c>
      <c r="D96" s="31" t="s">
        <v>67</v>
      </c>
      <c r="E96" s="31" t="s">
        <v>473</v>
      </c>
      <c r="F96" s="32">
        <v>2000</v>
      </c>
      <c r="G96" s="32">
        <v>2000</v>
      </c>
      <c r="H96" s="33" t="s">
        <v>414</v>
      </c>
      <c r="I96" s="34">
        <f t="shared" si="43"/>
        <v>1</v>
      </c>
      <c r="J96" s="14">
        <f>F96*10</f>
        <v>20000</v>
      </c>
      <c r="K96" s="14">
        <f t="shared" ref="K96:K107" si="60">J96/1000</f>
        <v>20</v>
      </c>
      <c r="L96" s="15">
        <f t="shared" ref="L96:L107" si="61">M96/1000</f>
        <v>0</v>
      </c>
      <c r="M96" s="14">
        <f>10*(F96-G96)</f>
        <v>0</v>
      </c>
      <c r="N96" s="66">
        <v>3.85</v>
      </c>
      <c r="O96" s="14">
        <f t="shared" ref="O96:O107" si="62">N96*1000*0.065</f>
        <v>250.25</v>
      </c>
      <c r="P96" s="14">
        <f t="shared" ref="P96:P107" si="63">O96*L96</f>
        <v>0</v>
      </c>
      <c r="R96" s="59"/>
    </row>
    <row r="97" spans="2:18" s="8" customFormat="1" ht="12.75" hidden="1" customHeight="1" x14ac:dyDescent="0.25">
      <c r="B97" s="45">
        <v>46059</v>
      </c>
      <c r="C97" s="78" t="s">
        <v>472</v>
      </c>
      <c r="D97" s="31" t="s">
        <v>69</v>
      </c>
      <c r="E97" s="31" t="s">
        <v>473</v>
      </c>
      <c r="F97" s="32">
        <v>4000</v>
      </c>
      <c r="G97" s="32">
        <v>4000</v>
      </c>
      <c r="H97" s="33" t="s">
        <v>414</v>
      </c>
      <c r="I97" s="34">
        <f t="shared" si="43"/>
        <v>1</v>
      </c>
      <c r="J97" s="14">
        <f>F97*12</f>
        <v>48000</v>
      </c>
      <c r="K97" s="14">
        <f t="shared" si="60"/>
        <v>48</v>
      </c>
      <c r="L97" s="15">
        <f t="shared" si="61"/>
        <v>0</v>
      </c>
      <c r="M97" s="14">
        <f>12*(F97-G97)</f>
        <v>0</v>
      </c>
      <c r="N97" s="66">
        <v>3.85</v>
      </c>
      <c r="O97" s="14">
        <f t="shared" si="62"/>
        <v>250.25</v>
      </c>
      <c r="P97" s="14">
        <f t="shared" si="63"/>
        <v>0</v>
      </c>
      <c r="R97" s="59"/>
    </row>
    <row r="98" spans="2:18" s="8" customFormat="1" ht="12.75" hidden="1" customHeight="1" x14ac:dyDescent="0.25">
      <c r="B98" s="45">
        <v>46059</v>
      </c>
      <c r="C98" s="75" t="s">
        <v>479</v>
      </c>
      <c r="D98" s="31" t="s">
        <v>63</v>
      </c>
      <c r="E98" s="31" t="s">
        <v>475</v>
      </c>
      <c r="F98" s="32">
        <v>600</v>
      </c>
      <c r="G98" s="32">
        <v>600</v>
      </c>
      <c r="H98" s="33" t="s">
        <v>414</v>
      </c>
      <c r="I98" s="34">
        <f t="shared" si="43"/>
        <v>1</v>
      </c>
      <c r="J98" s="14">
        <f>F98*20</f>
        <v>12000</v>
      </c>
      <c r="K98" s="14">
        <f t="shared" si="60"/>
        <v>12</v>
      </c>
      <c r="L98" s="15">
        <f t="shared" si="61"/>
        <v>0</v>
      </c>
      <c r="M98" s="14">
        <f>20*(F98-G98)</f>
        <v>0</v>
      </c>
      <c r="N98" s="66">
        <v>3.6</v>
      </c>
      <c r="O98" s="14">
        <f t="shared" si="62"/>
        <v>234</v>
      </c>
      <c r="P98" s="14">
        <f t="shared" si="63"/>
        <v>0</v>
      </c>
      <c r="R98" s="59"/>
    </row>
    <row r="99" spans="2:18" s="8" customFormat="1" ht="12.75" hidden="1" customHeight="1" x14ac:dyDescent="0.25">
      <c r="B99" s="45">
        <v>46059</v>
      </c>
      <c r="C99" s="75" t="s">
        <v>479</v>
      </c>
      <c r="D99" s="31" t="s">
        <v>61</v>
      </c>
      <c r="E99" s="31" t="s">
        <v>475</v>
      </c>
      <c r="F99" s="32">
        <v>1000</v>
      </c>
      <c r="G99" s="32">
        <v>1000</v>
      </c>
      <c r="H99" s="33" t="s">
        <v>414</v>
      </c>
      <c r="I99" s="34">
        <f t="shared" si="43"/>
        <v>1</v>
      </c>
      <c r="J99" s="14">
        <f>F99*15</f>
        <v>15000</v>
      </c>
      <c r="K99" s="14">
        <f t="shared" si="60"/>
        <v>15</v>
      </c>
      <c r="L99" s="15">
        <f t="shared" si="61"/>
        <v>0</v>
      </c>
      <c r="M99" s="14">
        <f>15*(F99-G99)</f>
        <v>0</v>
      </c>
      <c r="N99" s="66">
        <v>3.6</v>
      </c>
      <c r="O99" s="14">
        <f t="shared" si="62"/>
        <v>234</v>
      </c>
      <c r="P99" s="14">
        <f t="shared" si="63"/>
        <v>0</v>
      </c>
      <c r="R99" s="59"/>
    </row>
    <row r="100" spans="2:18" s="8" customFormat="1" ht="12.75" hidden="1" customHeight="1" x14ac:dyDescent="0.25">
      <c r="B100" s="45">
        <v>46059</v>
      </c>
      <c r="C100" s="75" t="s">
        <v>479</v>
      </c>
      <c r="D100" s="31" t="s">
        <v>59</v>
      </c>
      <c r="E100" s="31" t="s">
        <v>475</v>
      </c>
      <c r="F100" s="32">
        <v>2000</v>
      </c>
      <c r="G100" s="32">
        <v>2000</v>
      </c>
      <c r="H100" s="33" t="s">
        <v>414</v>
      </c>
      <c r="I100" s="34">
        <f t="shared" si="43"/>
        <v>1</v>
      </c>
      <c r="J100" s="14">
        <f>F100*12</f>
        <v>24000</v>
      </c>
      <c r="K100" s="14">
        <f t="shared" si="60"/>
        <v>24</v>
      </c>
      <c r="L100" s="15">
        <f t="shared" si="61"/>
        <v>0</v>
      </c>
      <c r="M100" s="14">
        <f>12*(F100-G100)</f>
        <v>0</v>
      </c>
      <c r="N100" s="66">
        <v>3.6</v>
      </c>
      <c r="O100" s="14">
        <f t="shared" si="62"/>
        <v>234</v>
      </c>
      <c r="P100" s="14">
        <f t="shared" si="63"/>
        <v>0</v>
      </c>
      <c r="R100" s="59"/>
    </row>
    <row r="101" spans="2:18" s="8" customFormat="1" ht="12.75" hidden="1" customHeight="1" x14ac:dyDescent="0.25">
      <c r="B101" s="45">
        <v>46059</v>
      </c>
      <c r="C101" s="75" t="s">
        <v>479</v>
      </c>
      <c r="D101" s="31" t="s">
        <v>57</v>
      </c>
      <c r="E101" s="31" t="s">
        <v>475</v>
      </c>
      <c r="F101" s="32">
        <v>2000</v>
      </c>
      <c r="G101" s="32">
        <v>2000</v>
      </c>
      <c r="H101" s="33" t="s">
        <v>414</v>
      </c>
      <c r="I101" s="34">
        <f t="shared" si="43"/>
        <v>1</v>
      </c>
      <c r="J101" s="14">
        <f>F101*10</f>
        <v>20000</v>
      </c>
      <c r="K101" s="14">
        <f t="shared" si="60"/>
        <v>20</v>
      </c>
      <c r="L101" s="15">
        <f t="shared" si="61"/>
        <v>0</v>
      </c>
      <c r="M101" s="14">
        <f>10*(F101-G101)</f>
        <v>0</v>
      </c>
      <c r="N101" s="66">
        <v>3.6</v>
      </c>
      <c r="O101" s="14">
        <f t="shared" si="62"/>
        <v>234</v>
      </c>
      <c r="P101" s="14">
        <f t="shared" si="63"/>
        <v>0</v>
      </c>
      <c r="R101" s="59"/>
    </row>
    <row r="102" spans="2:18" s="8" customFormat="1" ht="12.75" hidden="1" customHeight="1" x14ac:dyDescent="0.25">
      <c r="B102" s="45">
        <v>46059</v>
      </c>
      <c r="C102" s="75" t="s">
        <v>479</v>
      </c>
      <c r="D102" s="31" t="s">
        <v>55</v>
      </c>
      <c r="E102" s="31" t="s">
        <v>475</v>
      </c>
      <c r="F102" s="32">
        <v>400</v>
      </c>
      <c r="G102" s="32">
        <v>400</v>
      </c>
      <c r="H102" s="33" t="s">
        <v>414</v>
      </c>
      <c r="I102" s="34">
        <f t="shared" si="43"/>
        <v>1</v>
      </c>
      <c r="J102" s="14">
        <f>F102*8</f>
        <v>3200</v>
      </c>
      <c r="K102" s="14">
        <f t="shared" si="60"/>
        <v>3.2</v>
      </c>
      <c r="L102" s="15">
        <f t="shared" si="61"/>
        <v>0</v>
      </c>
      <c r="M102" s="14">
        <f>8*(F102-G102)</f>
        <v>0</v>
      </c>
      <c r="N102" s="66">
        <v>3.6</v>
      </c>
      <c r="O102" s="14">
        <f t="shared" si="62"/>
        <v>234</v>
      </c>
      <c r="P102" s="14">
        <f t="shared" si="63"/>
        <v>0</v>
      </c>
      <c r="R102" s="59"/>
    </row>
    <row r="103" spans="2:18" s="8" customFormat="1" ht="12.75" hidden="1" customHeight="1" x14ac:dyDescent="0.25">
      <c r="B103" s="45">
        <v>46059</v>
      </c>
      <c r="C103" s="75" t="s">
        <v>480</v>
      </c>
      <c r="D103" s="31" t="s">
        <v>63</v>
      </c>
      <c r="E103" s="31" t="s">
        <v>475</v>
      </c>
      <c r="F103" s="32">
        <v>600</v>
      </c>
      <c r="G103" s="32">
        <v>600</v>
      </c>
      <c r="H103" s="33" t="s">
        <v>414</v>
      </c>
      <c r="I103" s="34">
        <f t="shared" si="43"/>
        <v>1</v>
      </c>
      <c r="J103" s="14">
        <f>F103*20</f>
        <v>12000</v>
      </c>
      <c r="K103" s="14">
        <f t="shared" si="60"/>
        <v>12</v>
      </c>
      <c r="L103" s="15">
        <f t="shared" si="61"/>
        <v>0</v>
      </c>
      <c r="M103" s="14">
        <f>20*(F103-G103)</f>
        <v>0</v>
      </c>
      <c r="N103" s="66">
        <v>3.6</v>
      </c>
      <c r="O103" s="14">
        <f t="shared" si="62"/>
        <v>234</v>
      </c>
      <c r="P103" s="14">
        <f t="shared" si="63"/>
        <v>0</v>
      </c>
      <c r="R103" s="59"/>
    </row>
    <row r="104" spans="2:18" s="8" customFormat="1" ht="12.75" hidden="1" customHeight="1" x14ac:dyDescent="0.25">
      <c r="B104" s="45">
        <v>46059</v>
      </c>
      <c r="C104" s="75" t="s">
        <v>480</v>
      </c>
      <c r="D104" s="31" t="s">
        <v>61</v>
      </c>
      <c r="E104" s="31" t="s">
        <v>475</v>
      </c>
      <c r="F104" s="32">
        <v>1000</v>
      </c>
      <c r="G104" s="32">
        <v>1000</v>
      </c>
      <c r="H104" s="33" t="s">
        <v>414</v>
      </c>
      <c r="I104" s="34">
        <f t="shared" si="43"/>
        <v>1</v>
      </c>
      <c r="J104" s="14">
        <f>F104*15</f>
        <v>15000</v>
      </c>
      <c r="K104" s="14">
        <f t="shared" si="60"/>
        <v>15</v>
      </c>
      <c r="L104" s="15">
        <f t="shared" si="61"/>
        <v>0</v>
      </c>
      <c r="M104" s="14">
        <f>15*(F104-G104)</f>
        <v>0</v>
      </c>
      <c r="N104" s="66">
        <v>3.6</v>
      </c>
      <c r="O104" s="14">
        <f t="shared" si="62"/>
        <v>234</v>
      </c>
      <c r="P104" s="14">
        <f t="shared" si="63"/>
        <v>0</v>
      </c>
      <c r="R104" s="59"/>
    </row>
    <row r="105" spans="2:18" s="8" customFormat="1" ht="12.75" hidden="1" customHeight="1" x14ac:dyDescent="0.25">
      <c r="B105" s="45">
        <v>46059</v>
      </c>
      <c r="C105" s="75" t="s">
        <v>480</v>
      </c>
      <c r="D105" s="31" t="s">
        <v>59</v>
      </c>
      <c r="E105" s="31" t="s">
        <v>475</v>
      </c>
      <c r="F105" s="32">
        <v>2000</v>
      </c>
      <c r="G105" s="32">
        <v>2000</v>
      </c>
      <c r="H105" s="33" t="s">
        <v>414</v>
      </c>
      <c r="I105" s="34">
        <f t="shared" si="43"/>
        <v>1</v>
      </c>
      <c r="J105" s="14">
        <f>F105*12</f>
        <v>24000</v>
      </c>
      <c r="K105" s="14">
        <f t="shared" si="60"/>
        <v>24</v>
      </c>
      <c r="L105" s="15">
        <f t="shared" si="61"/>
        <v>0</v>
      </c>
      <c r="M105" s="14">
        <f>12*(F105-G105)</f>
        <v>0</v>
      </c>
      <c r="N105" s="66">
        <v>3.6</v>
      </c>
      <c r="O105" s="14">
        <f t="shared" si="62"/>
        <v>234</v>
      </c>
      <c r="P105" s="14">
        <f t="shared" si="63"/>
        <v>0</v>
      </c>
      <c r="R105" s="59"/>
    </row>
    <row r="106" spans="2:18" s="8" customFormat="1" ht="12.75" hidden="1" customHeight="1" x14ac:dyDescent="0.25">
      <c r="B106" s="45">
        <v>46059</v>
      </c>
      <c r="C106" s="75" t="s">
        <v>480</v>
      </c>
      <c r="D106" s="31" t="s">
        <v>57</v>
      </c>
      <c r="E106" s="31" t="s">
        <v>475</v>
      </c>
      <c r="F106" s="32">
        <v>2000</v>
      </c>
      <c r="G106" s="32">
        <v>2000</v>
      </c>
      <c r="H106" s="33" t="s">
        <v>414</v>
      </c>
      <c r="I106" s="34">
        <f t="shared" si="43"/>
        <v>1</v>
      </c>
      <c r="J106" s="14">
        <f>F106*10</f>
        <v>20000</v>
      </c>
      <c r="K106" s="14">
        <f t="shared" si="60"/>
        <v>20</v>
      </c>
      <c r="L106" s="15">
        <f t="shared" si="61"/>
        <v>0</v>
      </c>
      <c r="M106" s="14">
        <f>10*(F106-G106)</f>
        <v>0</v>
      </c>
      <c r="N106" s="66">
        <v>3.6</v>
      </c>
      <c r="O106" s="14">
        <f t="shared" si="62"/>
        <v>234</v>
      </c>
      <c r="P106" s="14">
        <f t="shared" si="63"/>
        <v>0</v>
      </c>
      <c r="R106" s="59"/>
    </row>
    <row r="107" spans="2:18" s="8" customFormat="1" ht="12.75" hidden="1" customHeight="1" x14ac:dyDescent="0.25">
      <c r="B107" s="45">
        <v>46059</v>
      </c>
      <c r="C107" s="75" t="s">
        <v>480</v>
      </c>
      <c r="D107" s="31" t="s">
        <v>55</v>
      </c>
      <c r="E107" s="31" t="s">
        <v>475</v>
      </c>
      <c r="F107" s="32">
        <v>400</v>
      </c>
      <c r="G107" s="32">
        <v>400</v>
      </c>
      <c r="H107" s="33" t="s">
        <v>414</v>
      </c>
      <c r="I107" s="34">
        <f t="shared" si="43"/>
        <v>1</v>
      </c>
      <c r="J107" s="14">
        <f>F107*8</f>
        <v>3200</v>
      </c>
      <c r="K107" s="14">
        <f t="shared" si="60"/>
        <v>3.2</v>
      </c>
      <c r="L107" s="15">
        <f t="shared" si="61"/>
        <v>0</v>
      </c>
      <c r="M107" s="14">
        <f>8*(F107-G107)</f>
        <v>0</v>
      </c>
      <c r="N107" s="66">
        <v>3.6</v>
      </c>
      <c r="O107" s="14">
        <f t="shared" si="62"/>
        <v>234</v>
      </c>
      <c r="P107" s="14">
        <f t="shared" si="63"/>
        <v>0</v>
      </c>
      <c r="R107" s="59"/>
    </row>
    <row r="108" spans="2:18" s="8" customFormat="1" ht="12.75" hidden="1" customHeight="1" x14ac:dyDescent="0.25">
      <c r="B108" s="45">
        <v>46078</v>
      </c>
      <c r="C108" s="90" t="s">
        <v>484</v>
      </c>
      <c r="D108" s="31" t="s">
        <v>485</v>
      </c>
      <c r="E108" s="31" t="s">
        <v>486</v>
      </c>
      <c r="F108" s="32">
        <v>530</v>
      </c>
      <c r="G108" s="32">
        <v>530</v>
      </c>
      <c r="H108" s="33" t="s">
        <v>414</v>
      </c>
      <c r="I108" s="34">
        <f t="shared" ref="I108" si="64">IFERROR(G108/F108,0)</f>
        <v>1</v>
      </c>
      <c r="J108" s="14">
        <f>F108*70</f>
        <v>37100</v>
      </c>
      <c r="K108" s="14">
        <f t="shared" ref="K108" si="65">J108/1000</f>
        <v>37.1</v>
      </c>
      <c r="L108" s="15">
        <f t="shared" ref="L108" si="66">M108/1000</f>
        <v>0</v>
      </c>
      <c r="M108" s="14">
        <f>70*(F108-G108)</f>
        <v>0</v>
      </c>
      <c r="N108" s="66">
        <v>4.1500000000000004</v>
      </c>
      <c r="O108" s="14">
        <f>N108*1000*0.09</f>
        <v>373.5</v>
      </c>
      <c r="P108" s="14">
        <f t="shared" ref="P108" si="67">O108*L108</f>
        <v>0</v>
      </c>
      <c r="R108" s="59"/>
    </row>
    <row r="109" spans="2:18" s="8" customFormat="1" ht="12.75" hidden="1" customHeight="1" x14ac:dyDescent="0.25">
      <c r="B109" s="45">
        <v>46078</v>
      </c>
      <c r="C109" s="62" t="s">
        <v>484</v>
      </c>
      <c r="D109" s="31" t="s">
        <v>245</v>
      </c>
      <c r="E109" s="31" t="s">
        <v>486</v>
      </c>
      <c r="F109" s="32">
        <v>70</v>
      </c>
      <c r="G109" s="32">
        <v>70</v>
      </c>
      <c r="H109" s="33" t="s">
        <v>414</v>
      </c>
      <c r="I109" s="34">
        <f>IFERROR(G109/F109,0)</f>
        <v>1</v>
      </c>
      <c r="J109" s="14">
        <f>F109*80</f>
        <v>5600</v>
      </c>
      <c r="K109" s="14">
        <f>J109/1000</f>
        <v>5.6</v>
      </c>
      <c r="L109" s="15">
        <f>M109/1000</f>
        <v>0</v>
      </c>
      <c r="M109" s="14">
        <f>80*(F109-G109)</f>
        <v>0</v>
      </c>
      <c r="N109" s="66">
        <v>3.3</v>
      </c>
      <c r="O109" s="14">
        <f>N109*1000*0.09</f>
        <v>297</v>
      </c>
      <c r="P109" s="14">
        <f>O109*L109</f>
        <v>0</v>
      </c>
      <c r="R109" s="59"/>
    </row>
    <row r="110" spans="2:18" s="8" customFormat="1" ht="12.75" hidden="1" customHeight="1" x14ac:dyDescent="0.25">
      <c r="B110" s="45">
        <v>46078</v>
      </c>
      <c r="C110" s="91" t="s">
        <v>484</v>
      </c>
      <c r="D110" s="31" t="s">
        <v>485</v>
      </c>
      <c r="E110" s="31" t="s">
        <v>487</v>
      </c>
      <c r="F110" s="32">
        <v>300</v>
      </c>
      <c r="G110" s="32">
        <v>300</v>
      </c>
      <c r="H110" s="33" t="s">
        <v>414</v>
      </c>
      <c r="I110" s="34">
        <f>IFERROR(G110/F110,0)</f>
        <v>1</v>
      </c>
      <c r="J110" s="14">
        <f>F110*70</f>
        <v>21000</v>
      </c>
      <c r="K110" s="14">
        <f>J110/1000</f>
        <v>21</v>
      </c>
      <c r="L110" s="15">
        <f>M110/1000</f>
        <v>0</v>
      </c>
      <c r="M110" s="14">
        <f>70*(F110-G110)</f>
        <v>0</v>
      </c>
      <c r="N110" s="66">
        <v>4.1500000000000004</v>
      </c>
      <c r="O110" s="14">
        <f>N110*1000*0.09</f>
        <v>373.5</v>
      </c>
      <c r="P110" s="14">
        <f>O110*L110</f>
        <v>0</v>
      </c>
      <c r="R110" s="59"/>
    </row>
    <row r="111" spans="2:18" s="8" customFormat="1" ht="12.75" hidden="1" customHeight="1" x14ac:dyDescent="0.25">
      <c r="B111" s="45">
        <v>46059</v>
      </c>
      <c r="C111" s="90" t="s">
        <v>476</v>
      </c>
      <c r="D111" s="31" t="s">
        <v>71</v>
      </c>
      <c r="E111" s="31" t="s">
        <v>473</v>
      </c>
      <c r="F111" s="32">
        <v>2000</v>
      </c>
      <c r="G111" s="32">
        <v>2000</v>
      </c>
      <c r="H111" s="33" t="s">
        <v>414</v>
      </c>
      <c r="I111" s="34">
        <f>IFERROR(G111/F111,0)</f>
        <v>1</v>
      </c>
      <c r="J111" s="14">
        <f>F111*15</f>
        <v>30000</v>
      </c>
      <c r="K111" s="14">
        <f>J111/1000</f>
        <v>30</v>
      </c>
      <c r="L111" s="15">
        <f>M111/1000</f>
        <v>0</v>
      </c>
      <c r="M111" s="14">
        <f>15*(F111-G111)</f>
        <v>0</v>
      </c>
      <c r="N111" s="66">
        <v>3.85</v>
      </c>
      <c r="O111" s="14">
        <f>N111*1000*0.065</f>
        <v>250.25</v>
      </c>
      <c r="P111" s="14">
        <f>O111*L111</f>
        <v>0</v>
      </c>
      <c r="R111" s="59"/>
    </row>
    <row r="112" spans="2:18" s="8" customFormat="1" ht="12.75" hidden="1" customHeight="1" x14ac:dyDescent="0.25">
      <c r="B112" s="45">
        <v>46059</v>
      </c>
      <c r="C112" s="62" t="s">
        <v>476</v>
      </c>
      <c r="D112" s="31" t="s">
        <v>73</v>
      </c>
      <c r="E112" s="31" t="s">
        <v>473</v>
      </c>
      <c r="F112" s="32">
        <v>1500</v>
      </c>
      <c r="G112" s="32">
        <v>1500</v>
      </c>
      <c r="H112" s="33" t="s">
        <v>414</v>
      </c>
      <c r="I112" s="34">
        <f t="shared" ref="I112:I134" si="68">IFERROR(G112/F112,0)</f>
        <v>1</v>
      </c>
      <c r="J112" s="14">
        <f>F112*20</f>
        <v>30000</v>
      </c>
      <c r="K112" s="14">
        <f t="shared" ref="K112:K134" si="69">J112/1000</f>
        <v>30</v>
      </c>
      <c r="L112" s="15">
        <f t="shared" ref="L112:L134" si="70">M112/1000</f>
        <v>0</v>
      </c>
      <c r="M112" s="14">
        <f>20*(F112-G112)</f>
        <v>0</v>
      </c>
      <c r="N112" s="66">
        <v>3.85</v>
      </c>
      <c r="O112" s="14">
        <f t="shared" ref="O112:O134" si="71">N112*1000*0.065</f>
        <v>250.25</v>
      </c>
      <c r="P112" s="14">
        <f t="shared" ref="P112:P134" si="72">O112*L112</f>
        <v>0</v>
      </c>
      <c r="R112" s="59"/>
    </row>
    <row r="113" spans="2:18" s="8" customFormat="1" ht="12.75" hidden="1" customHeight="1" x14ac:dyDescent="0.25">
      <c r="B113" s="45">
        <v>46059</v>
      </c>
      <c r="C113" s="62" t="s">
        <v>476</v>
      </c>
      <c r="D113" s="31" t="s">
        <v>69</v>
      </c>
      <c r="E113" s="31" t="s">
        <v>473</v>
      </c>
      <c r="F113" s="32">
        <v>1500</v>
      </c>
      <c r="G113" s="32">
        <v>1500</v>
      </c>
      <c r="H113" s="33" t="s">
        <v>414</v>
      </c>
      <c r="I113" s="34">
        <f t="shared" si="68"/>
        <v>1</v>
      </c>
      <c r="J113" s="14">
        <f>F113*12</f>
        <v>18000</v>
      </c>
      <c r="K113" s="14">
        <f t="shared" si="69"/>
        <v>18</v>
      </c>
      <c r="L113" s="15">
        <f t="shared" si="70"/>
        <v>0</v>
      </c>
      <c r="M113" s="14">
        <f>12*(F113-G113)</f>
        <v>0</v>
      </c>
      <c r="N113" s="66">
        <v>3.85</v>
      </c>
      <c r="O113" s="14">
        <f t="shared" si="71"/>
        <v>250.25</v>
      </c>
      <c r="P113" s="14">
        <f t="shared" si="72"/>
        <v>0</v>
      </c>
      <c r="R113" s="59"/>
    </row>
    <row r="114" spans="2:18" s="8" customFormat="1" ht="12.75" hidden="1" customHeight="1" x14ac:dyDescent="0.25">
      <c r="B114" s="45">
        <v>46059</v>
      </c>
      <c r="C114" s="62" t="s">
        <v>476</v>
      </c>
      <c r="D114" s="31" t="s">
        <v>67</v>
      </c>
      <c r="E114" s="31" t="s">
        <v>473</v>
      </c>
      <c r="F114" s="32">
        <v>1000</v>
      </c>
      <c r="G114" s="32">
        <v>1000</v>
      </c>
      <c r="H114" s="33" t="s">
        <v>414</v>
      </c>
      <c r="I114" s="34">
        <f t="shared" si="68"/>
        <v>1</v>
      </c>
      <c r="J114" s="14">
        <f>F114*10</f>
        <v>10000</v>
      </c>
      <c r="K114" s="14">
        <f t="shared" si="69"/>
        <v>10</v>
      </c>
      <c r="L114" s="15">
        <f t="shared" si="70"/>
        <v>0</v>
      </c>
      <c r="M114" s="14">
        <f>10*(F114-G114)</f>
        <v>0</v>
      </c>
      <c r="N114" s="66">
        <v>3.85</v>
      </c>
      <c r="O114" s="14">
        <f t="shared" si="71"/>
        <v>250.25</v>
      </c>
      <c r="P114" s="14">
        <f t="shared" si="72"/>
        <v>0</v>
      </c>
      <c r="R114" s="59"/>
    </row>
    <row r="115" spans="2:18" s="8" customFormat="1" ht="12.75" hidden="1" customHeight="1" x14ac:dyDescent="0.25">
      <c r="B115" s="45">
        <v>46078</v>
      </c>
      <c r="C115" s="62" t="s">
        <v>481</v>
      </c>
      <c r="D115" s="31" t="s">
        <v>41</v>
      </c>
      <c r="E115" s="31" t="s">
        <v>475</v>
      </c>
      <c r="F115" s="32">
        <v>600</v>
      </c>
      <c r="G115" s="32">
        <v>600</v>
      </c>
      <c r="H115" s="33" t="s">
        <v>414</v>
      </c>
      <c r="I115" s="34">
        <f t="shared" si="68"/>
        <v>1</v>
      </c>
      <c r="J115" s="14">
        <f>F115*6</f>
        <v>3600</v>
      </c>
      <c r="K115" s="14">
        <f t="shared" si="69"/>
        <v>3.6</v>
      </c>
      <c r="L115" s="15">
        <f t="shared" si="70"/>
        <v>0</v>
      </c>
      <c r="M115" s="14">
        <f>6*(F115-G115)</f>
        <v>0</v>
      </c>
      <c r="N115" s="66">
        <v>2.7</v>
      </c>
      <c r="O115" s="14">
        <f t="shared" si="71"/>
        <v>175.5</v>
      </c>
      <c r="P115" s="14">
        <f t="shared" si="72"/>
        <v>0</v>
      </c>
      <c r="R115" s="59"/>
    </row>
    <row r="116" spans="2:18" s="8" customFormat="1" ht="12.75" hidden="1" customHeight="1" x14ac:dyDescent="0.25">
      <c r="B116" s="45">
        <v>46078</v>
      </c>
      <c r="C116" s="62" t="s">
        <v>481</v>
      </c>
      <c r="D116" s="31" t="s">
        <v>43</v>
      </c>
      <c r="E116" s="31" t="s">
        <v>475</v>
      </c>
      <c r="F116" s="32">
        <v>400</v>
      </c>
      <c r="G116" s="32">
        <v>400</v>
      </c>
      <c r="H116" s="33" t="s">
        <v>414</v>
      </c>
      <c r="I116" s="34">
        <f t="shared" si="68"/>
        <v>1</v>
      </c>
      <c r="J116" s="14">
        <f>F116*8</f>
        <v>3200</v>
      </c>
      <c r="K116" s="14">
        <f t="shared" si="69"/>
        <v>3.2</v>
      </c>
      <c r="L116" s="15">
        <f t="shared" si="70"/>
        <v>0</v>
      </c>
      <c r="M116" s="14">
        <f>8*(F116-G116)</f>
        <v>0</v>
      </c>
      <c r="N116" s="66">
        <v>2.7</v>
      </c>
      <c r="O116" s="14">
        <f t="shared" si="71"/>
        <v>175.5</v>
      </c>
      <c r="P116" s="14">
        <f t="shared" si="72"/>
        <v>0</v>
      </c>
      <c r="R116" s="59"/>
    </row>
    <row r="117" spans="2:18" s="8" customFormat="1" ht="12.75" hidden="1" customHeight="1" x14ac:dyDescent="0.25">
      <c r="B117" s="45">
        <v>46078</v>
      </c>
      <c r="C117" s="62" t="s">
        <v>481</v>
      </c>
      <c r="D117" s="31" t="s">
        <v>45</v>
      </c>
      <c r="E117" s="31" t="s">
        <v>475</v>
      </c>
      <c r="F117" s="32">
        <v>1000</v>
      </c>
      <c r="G117" s="32">
        <v>1000</v>
      </c>
      <c r="H117" s="33" t="s">
        <v>414</v>
      </c>
      <c r="I117" s="34">
        <f t="shared" si="68"/>
        <v>1</v>
      </c>
      <c r="J117" s="14">
        <f>F117*10</f>
        <v>10000</v>
      </c>
      <c r="K117" s="14">
        <f t="shared" si="69"/>
        <v>10</v>
      </c>
      <c r="L117" s="15">
        <f t="shared" si="70"/>
        <v>0</v>
      </c>
      <c r="M117" s="14">
        <f>10*(F117-G117)</f>
        <v>0</v>
      </c>
      <c r="N117" s="66">
        <v>2.7</v>
      </c>
      <c r="O117" s="14">
        <f t="shared" si="71"/>
        <v>175.5</v>
      </c>
      <c r="P117" s="14">
        <f t="shared" si="72"/>
        <v>0</v>
      </c>
      <c r="R117" s="59"/>
    </row>
    <row r="118" spans="2:18" s="8" customFormat="1" ht="12.75" hidden="1" customHeight="1" x14ac:dyDescent="0.25">
      <c r="B118" s="45">
        <v>46078</v>
      </c>
      <c r="C118" s="62" t="s">
        <v>481</v>
      </c>
      <c r="D118" s="31" t="s">
        <v>47</v>
      </c>
      <c r="E118" s="31" t="s">
        <v>475</v>
      </c>
      <c r="F118" s="32">
        <v>1000</v>
      </c>
      <c r="G118" s="32">
        <v>1000</v>
      </c>
      <c r="H118" s="33" t="s">
        <v>414</v>
      </c>
      <c r="I118" s="34">
        <f t="shared" si="68"/>
        <v>1</v>
      </c>
      <c r="J118" s="14">
        <f>F118*12</f>
        <v>12000</v>
      </c>
      <c r="K118" s="14">
        <f t="shared" si="69"/>
        <v>12</v>
      </c>
      <c r="L118" s="15">
        <f t="shared" si="70"/>
        <v>0</v>
      </c>
      <c r="M118" s="14">
        <f>12*(F118-G118)</f>
        <v>0</v>
      </c>
      <c r="N118" s="66">
        <v>2.7</v>
      </c>
      <c r="O118" s="14">
        <f t="shared" si="71"/>
        <v>175.5</v>
      </c>
      <c r="P118" s="14">
        <f t="shared" si="72"/>
        <v>0</v>
      </c>
      <c r="R118" s="59"/>
    </row>
    <row r="119" spans="2:18" s="8" customFormat="1" ht="12.75" hidden="1" customHeight="1" x14ac:dyDescent="0.25">
      <c r="B119" s="45">
        <v>46078</v>
      </c>
      <c r="C119" s="62" t="s">
        <v>481</v>
      </c>
      <c r="D119" s="31" t="s">
        <v>49</v>
      </c>
      <c r="E119" s="31" t="s">
        <v>475</v>
      </c>
      <c r="F119" s="32">
        <v>400</v>
      </c>
      <c r="G119" s="32">
        <v>400</v>
      </c>
      <c r="H119" s="33" t="s">
        <v>414</v>
      </c>
      <c r="I119" s="34">
        <f t="shared" si="68"/>
        <v>1</v>
      </c>
      <c r="J119" s="14">
        <f>F119*15</f>
        <v>6000</v>
      </c>
      <c r="K119" s="14">
        <f t="shared" si="69"/>
        <v>6</v>
      </c>
      <c r="L119" s="15">
        <f t="shared" si="70"/>
        <v>0</v>
      </c>
      <c r="M119" s="14">
        <f>15*(F119-G119)</f>
        <v>0</v>
      </c>
      <c r="N119" s="66">
        <v>2.7</v>
      </c>
      <c r="O119" s="14">
        <f t="shared" si="71"/>
        <v>175.5</v>
      </c>
      <c r="P119" s="14">
        <f t="shared" si="72"/>
        <v>0</v>
      </c>
      <c r="R119" s="59"/>
    </row>
    <row r="120" spans="2:18" s="8" customFormat="1" ht="12.75" hidden="1" customHeight="1" x14ac:dyDescent="0.25">
      <c r="B120" s="45">
        <v>46078</v>
      </c>
      <c r="C120" s="62" t="s">
        <v>481</v>
      </c>
      <c r="D120" s="31" t="s">
        <v>55</v>
      </c>
      <c r="E120" s="31" t="s">
        <v>475</v>
      </c>
      <c r="F120" s="32">
        <v>400</v>
      </c>
      <c r="G120" s="32">
        <v>400</v>
      </c>
      <c r="H120" s="33" t="s">
        <v>414</v>
      </c>
      <c r="I120" s="34">
        <f t="shared" ref="I120:I121" si="73">IFERROR(G120/F120,0)</f>
        <v>1</v>
      </c>
      <c r="J120" s="14">
        <f>F120*8</f>
        <v>3200</v>
      </c>
      <c r="K120" s="14">
        <f t="shared" ref="K120:K124" si="74">J120/1000</f>
        <v>3.2</v>
      </c>
      <c r="L120" s="15">
        <f t="shared" ref="L120:L124" si="75">M120/1000</f>
        <v>0</v>
      </c>
      <c r="M120" s="14">
        <f>8*(F120-G120)</f>
        <v>0</v>
      </c>
      <c r="N120" s="66">
        <v>3.6</v>
      </c>
      <c r="O120" s="14">
        <f>N120*1000*0.065</f>
        <v>234</v>
      </c>
      <c r="P120" s="14">
        <f t="shared" ref="P120:P124" si="76">O120*L120</f>
        <v>0</v>
      </c>
      <c r="R120" s="59"/>
    </row>
    <row r="121" spans="2:18" s="8" customFormat="1" ht="12.75" hidden="1" customHeight="1" x14ac:dyDescent="0.25">
      <c r="B121" s="45">
        <v>46078</v>
      </c>
      <c r="C121" s="62" t="s">
        <v>481</v>
      </c>
      <c r="D121" s="31" t="s">
        <v>57</v>
      </c>
      <c r="E121" s="31" t="s">
        <v>475</v>
      </c>
      <c r="F121" s="32">
        <v>1000</v>
      </c>
      <c r="G121" s="32">
        <v>1000</v>
      </c>
      <c r="H121" s="33" t="s">
        <v>414</v>
      </c>
      <c r="I121" s="34">
        <f t="shared" si="73"/>
        <v>1</v>
      </c>
      <c r="J121" s="14">
        <f>F121*10</f>
        <v>10000</v>
      </c>
      <c r="K121" s="14">
        <f t="shared" si="74"/>
        <v>10</v>
      </c>
      <c r="L121" s="15">
        <f t="shared" si="75"/>
        <v>0</v>
      </c>
      <c r="M121" s="14">
        <f>10*(F121-G121)</f>
        <v>0</v>
      </c>
      <c r="N121" s="66">
        <v>3.6</v>
      </c>
      <c r="O121" s="14">
        <f>N121*1000*0.065</f>
        <v>234</v>
      </c>
      <c r="P121" s="14">
        <f t="shared" si="76"/>
        <v>0</v>
      </c>
      <c r="R121" s="59"/>
    </row>
    <row r="122" spans="2:18" s="8" customFormat="1" ht="12.75" hidden="1" customHeight="1" x14ac:dyDescent="0.25">
      <c r="B122" s="45">
        <v>46078</v>
      </c>
      <c r="C122" s="62" t="s">
        <v>481</v>
      </c>
      <c r="D122" s="31" t="s">
        <v>59</v>
      </c>
      <c r="E122" s="31" t="s">
        <v>475</v>
      </c>
      <c r="F122" s="32">
        <v>1200</v>
      </c>
      <c r="G122" s="32">
        <v>1200</v>
      </c>
      <c r="H122" s="33" t="s">
        <v>414</v>
      </c>
      <c r="I122" s="34">
        <f t="shared" ref="I122:I132" si="77">IFERROR(G122/F122,0)</f>
        <v>1</v>
      </c>
      <c r="J122" s="14">
        <f>F122*12</f>
        <v>14400</v>
      </c>
      <c r="K122" s="14">
        <f t="shared" si="74"/>
        <v>14.4</v>
      </c>
      <c r="L122" s="15">
        <f t="shared" si="75"/>
        <v>0</v>
      </c>
      <c r="M122" s="14">
        <f>12*(F122-G122)</f>
        <v>0</v>
      </c>
      <c r="N122" s="66">
        <v>3.6</v>
      </c>
      <c r="O122" s="14">
        <f>N122*1000*0.065</f>
        <v>234</v>
      </c>
      <c r="P122" s="14">
        <f t="shared" si="76"/>
        <v>0</v>
      </c>
      <c r="R122" s="59"/>
    </row>
    <row r="123" spans="2:18" s="8" customFormat="1" ht="12.75" hidden="1" customHeight="1" x14ac:dyDescent="0.25">
      <c r="B123" s="45">
        <v>46078</v>
      </c>
      <c r="C123" s="62" t="s">
        <v>481</v>
      </c>
      <c r="D123" s="31" t="s">
        <v>61</v>
      </c>
      <c r="E123" s="31" t="s">
        <v>475</v>
      </c>
      <c r="F123" s="32">
        <v>500</v>
      </c>
      <c r="G123" s="32">
        <v>500</v>
      </c>
      <c r="H123" s="33" t="s">
        <v>414</v>
      </c>
      <c r="I123" s="34">
        <f t="shared" si="77"/>
        <v>1</v>
      </c>
      <c r="J123" s="14">
        <f>F123*15</f>
        <v>7500</v>
      </c>
      <c r="K123" s="14">
        <f t="shared" si="74"/>
        <v>7.5</v>
      </c>
      <c r="L123" s="15">
        <f t="shared" si="75"/>
        <v>0</v>
      </c>
      <c r="M123" s="14">
        <f>15*(F123-G123)</f>
        <v>0</v>
      </c>
      <c r="N123" s="66">
        <v>3.6</v>
      </c>
      <c r="O123" s="14">
        <f>N123*1000*0.065</f>
        <v>234</v>
      </c>
      <c r="P123" s="14">
        <f t="shared" si="76"/>
        <v>0</v>
      </c>
      <c r="R123" s="59"/>
    </row>
    <row r="124" spans="2:18" s="8" customFormat="1" ht="12.75" hidden="1" customHeight="1" x14ac:dyDescent="0.25">
      <c r="B124" s="45">
        <v>46078</v>
      </c>
      <c r="C124" s="62" t="s">
        <v>481</v>
      </c>
      <c r="D124" s="31" t="s">
        <v>63</v>
      </c>
      <c r="E124" s="31" t="s">
        <v>475</v>
      </c>
      <c r="F124" s="32">
        <v>300</v>
      </c>
      <c r="G124" s="32">
        <v>300</v>
      </c>
      <c r="H124" s="33" t="s">
        <v>414</v>
      </c>
      <c r="I124" s="34">
        <f t="shared" si="77"/>
        <v>1</v>
      </c>
      <c r="J124" s="14">
        <f>F124*20</f>
        <v>6000</v>
      </c>
      <c r="K124" s="14">
        <f t="shared" si="74"/>
        <v>6</v>
      </c>
      <c r="L124" s="15">
        <f t="shared" si="75"/>
        <v>0</v>
      </c>
      <c r="M124" s="14">
        <f>20*(F124-G124)</f>
        <v>0</v>
      </c>
      <c r="N124" s="66">
        <v>3.6</v>
      </c>
      <c r="O124" s="14">
        <f>N124*1000*0.065</f>
        <v>234</v>
      </c>
      <c r="P124" s="14">
        <f t="shared" si="76"/>
        <v>0</v>
      </c>
      <c r="R124" s="59"/>
    </row>
    <row r="125" spans="2:18" s="8" customFormat="1" ht="12.75" hidden="1" customHeight="1" x14ac:dyDescent="0.25">
      <c r="B125" s="45">
        <v>46081</v>
      </c>
      <c r="C125" s="62" t="s">
        <v>488</v>
      </c>
      <c r="D125" s="31" t="s">
        <v>275</v>
      </c>
      <c r="E125" s="31" t="s">
        <v>490</v>
      </c>
      <c r="F125" s="32">
        <v>120</v>
      </c>
      <c r="G125" s="32">
        <v>120</v>
      </c>
      <c r="H125" s="33" t="s">
        <v>414</v>
      </c>
      <c r="I125" s="34">
        <f t="shared" si="77"/>
        <v>1</v>
      </c>
      <c r="J125" s="14">
        <f>F125*90</f>
        <v>10800</v>
      </c>
      <c r="K125" s="14">
        <f t="shared" ref="K125:K132" si="78">J125/1000</f>
        <v>10.8</v>
      </c>
      <c r="L125" s="15">
        <f t="shared" ref="L125:L132" si="79">M125/1000</f>
        <v>0</v>
      </c>
      <c r="M125" s="14">
        <f>90*(F125-G125)</f>
        <v>0</v>
      </c>
      <c r="N125" s="66">
        <v>2.8</v>
      </c>
      <c r="O125" s="14">
        <f t="shared" ref="O125:O131" si="80">N125*1000*0.09</f>
        <v>252</v>
      </c>
      <c r="P125" s="14">
        <f t="shared" ref="P125:P132" si="81">O125*L125</f>
        <v>0</v>
      </c>
      <c r="R125" s="59"/>
    </row>
    <row r="126" spans="2:18" s="8" customFormat="1" ht="12.75" hidden="1" customHeight="1" x14ac:dyDescent="0.25">
      <c r="B126" s="45">
        <v>46081</v>
      </c>
      <c r="C126" s="62" t="s">
        <v>488</v>
      </c>
      <c r="D126" s="31" t="s">
        <v>313</v>
      </c>
      <c r="E126" s="31" t="s">
        <v>490</v>
      </c>
      <c r="F126" s="32">
        <v>110</v>
      </c>
      <c r="G126" s="32">
        <v>110</v>
      </c>
      <c r="H126" s="33" t="s">
        <v>414</v>
      </c>
      <c r="I126" s="34">
        <f t="shared" si="77"/>
        <v>1</v>
      </c>
      <c r="J126" s="14">
        <f>F126*100</f>
        <v>11000</v>
      </c>
      <c r="K126" s="14">
        <f t="shared" si="78"/>
        <v>11</v>
      </c>
      <c r="L126" s="15">
        <f t="shared" si="79"/>
        <v>0</v>
      </c>
      <c r="M126" s="14">
        <f>100*(F126-G126)</f>
        <v>0</v>
      </c>
      <c r="N126" s="66">
        <v>3</v>
      </c>
      <c r="O126" s="14">
        <f t="shared" si="80"/>
        <v>270</v>
      </c>
      <c r="P126" s="14">
        <f t="shared" si="81"/>
        <v>0</v>
      </c>
      <c r="R126" s="59"/>
    </row>
    <row r="127" spans="2:18" s="8" customFormat="1" ht="12.75" hidden="1" customHeight="1" x14ac:dyDescent="0.25">
      <c r="B127" s="45">
        <v>46081</v>
      </c>
      <c r="C127" s="62" t="s">
        <v>488</v>
      </c>
      <c r="D127" s="31" t="s">
        <v>133</v>
      </c>
      <c r="E127" s="31" t="s">
        <v>490</v>
      </c>
      <c r="F127" s="32">
        <v>30</v>
      </c>
      <c r="G127" s="32">
        <v>30</v>
      </c>
      <c r="H127" s="33" t="s">
        <v>414</v>
      </c>
      <c r="I127" s="34">
        <f t="shared" si="77"/>
        <v>1</v>
      </c>
      <c r="J127" s="14">
        <f>F127*50</f>
        <v>1500</v>
      </c>
      <c r="K127" s="14">
        <f t="shared" si="78"/>
        <v>1.5</v>
      </c>
      <c r="L127" s="15">
        <f t="shared" si="79"/>
        <v>0</v>
      </c>
      <c r="M127" s="14">
        <f>50*(F127-G127)</f>
        <v>0</v>
      </c>
      <c r="N127" s="66">
        <v>3</v>
      </c>
      <c r="O127" s="14">
        <f t="shared" si="80"/>
        <v>270</v>
      </c>
      <c r="P127" s="14">
        <f t="shared" si="81"/>
        <v>0</v>
      </c>
      <c r="R127" s="59"/>
    </row>
    <row r="128" spans="2:18" s="8" customFormat="1" ht="12.75" hidden="1" customHeight="1" x14ac:dyDescent="0.25">
      <c r="B128" s="45">
        <v>46081</v>
      </c>
      <c r="C128" s="62" t="s">
        <v>488</v>
      </c>
      <c r="D128" s="31" t="s">
        <v>21</v>
      </c>
      <c r="E128" s="31" t="s">
        <v>490</v>
      </c>
      <c r="F128" s="32">
        <v>100</v>
      </c>
      <c r="G128" s="32">
        <v>100</v>
      </c>
      <c r="H128" s="33" t="s">
        <v>414</v>
      </c>
      <c r="I128" s="34">
        <f t="shared" si="77"/>
        <v>1</v>
      </c>
      <c r="J128" s="14">
        <f>F128*80</f>
        <v>8000</v>
      </c>
      <c r="K128" s="14">
        <f t="shared" si="78"/>
        <v>8</v>
      </c>
      <c r="L128" s="15">
        <f t="shared" si="79"/>
        <v>0</v>
      </c>
      <c r="M128" s="14">
        <f>80*(F128-G128)</f>
        <v>0</v>
      </c>
      <c r="N128" s="66">
        <v>3</v>
      </c>
      <c r="O128" s="14">
        <f t="shared" si="80"/>
        <v>270</v>
      </c>
      <c r="P128" s="14">
        <f t="shared" si="81"/>
        <v>0</v>
      </c>
      <c r="R128" s="59"/>
    </row>
    <row r="129" spans="2:18" s="8" customFormat="1" ht="12.75" hidden="1" customHeight="1" x14ac:dyDescent="0.25">
      <c r="B129" s="45">
        <v>46081</v>
      </c>
      <c r="C129" s="62" t="s">
        <v>488</v>
      </c>
      <c r="D129" s="31" t="s">
        <v>205</v>
      </c>
      <c r="E129" s="31" t="s">
        <v>490</v>
      </c>
      <c r="F129" s="32">
        <v>400</v>
      </c>
      <c r="G129" s="32">
        <v>400</v>
      </c>
      <c r="H129" s="33" t="s">
        <v>414</v>
      </c>
      <c r="I129" s="34">
        <f t="shared" si="77"/>
        <v>1</v>
      </c>
      <c r="J129" s="14">
        <f>F129*70</f>
        <v>28000</v>
      </c>
      <c r="K129" s="14">
        <f t="shared" si="78"/>
        <v>28</v>
      </c>
      <c r="L129" s="15">
        <f t="shared" si="79"/>
        <v>0</v>
      </c>
      <c r="M129" s="14">
        <f>70*(F129-G129)</f>
        <v>0</v>
      </c>
      <c r="N129" s="66">
        <v>3</v>
      </c>
      <c r="O129" s="14">
        <f t="shared" si="80"/>
        <v>270</v>
      </c>
      <c r="P129" s="14">
        <f t="shared" si="81"/>
        <v>0</v>
      </c>
      <c r="R129" s="59"/>
    </row>
    <row r="130" spans="2:18" s="8" customFormat="1" ht="12.75" hidden="1" customHeight="1" x14ac:dyDescent="0.25">
      <c r="B130" s="45">
        <v>46081</v>
      </c>
      <c r="C130" s="62" t="s">
        <v>488</v>
      </c>
      <c r="D130" s="31" t="s">
        <v>259</v>
      </c>
      <c r="E130" s="31" t="s">
        <v>490</v>
      </c>
      <c r="F130" s="32">
        <v>50</v>
      </c>
      <c r="G130" s="32">
        <v>50</v>
      </c>
      <c r="H130" s="33" t="s">
        <v>414</v>
      </c>
      <c r="I130" s="34">
        <f t="shared" si="77"/>
        <v>1</v>
      </c>
      <c r="J130" s="14">
        <f>F130*85</f>
        <v>4250</v>
      </c>
      <c r="K130" s="14">
        <f t="shared" si="78"/>
        <v>4.25</v>
      </c>
      <c r="L130" s="15">
        <f t="shared" si="79"/>
        <v>0</v>
      </c>
      <c r="M130" s="14">
        <f>85*(F130-G130)</f>
        <v>0</v>
      </c>
      <c r="N130" s="66">
        <v>3</v>
      </c>
      <c r="O130" s="14">
        <f t="shared" si="80"/>
        <v>270</v>
      </c>
      <c r="P130" s="14">
        <f t="shared" si="81"/>
        <v>0</v>
      </c>
      <c r="R130" s="59"/>
    </row>
    <row r="131" spans="2:18" s="8" customFormat="1" ht="12.75" hidden="1" customHeight="1" x14ac:dyDescent="0.25">
      <c r="B131" s="45">
        <v>46089</v>
      </c>
      <c r="C131" s="62" t="s">
        <v>489</v>
      </c>
      <c r="D131" s="31" t="s">
        <v>169</v>
      </c>
      <c r="E131" s="31" t="s">
        <v>490</v>
      </c>
      <c r="F131" s="32">
        <v>30</v>
      </c>
      <c r="G131" s="32">
        <v>30</v>
      </c>
      <c r="H131" s="33" t="s">
        <v>414</v>
      </c>
      <c r="I131" s="34">
        <f t="shared" si="77"/>
        <v>1</v>
      </c>
      <c r="J131" s="14">
        <f>F131*60</f>
        <v>1800</v>
      </c>
      <c r="K131" s="14">
        <f t="shared" si="78"/>
        <v>1.8</v>
      </c>
      <c r="L131" s="15">
        <f t="shared" si="79"/>
        <v>0</v>
      </c>
      <c r="M131" s="14">
        <f>60*(F131-G131)</f>
        <v>0</v>
      </c>
      <c r="N131" s="66">
        <v>3</v>
      </c>
      <c r="O131" s="14">
        <f t="shared" si="80"/>
        <v>270</v>
      </c>
      <c r="P131" s="14">
        <f t="shared" si="81"/>
        <v>0</v>
      </c>
      <c r="R131" s="59"/>
    </row>
    <row r="132" spans="2:18" s="8" customFormat="1" ht="12.75" hidden="1" customHeight="1" x14ac:dyDescent="0.25">
      <c r="B132" s="45">
        <v>46059</v>
      </c>
      <c r="C132" s="62" t="s">
        <v>477</v>
      </c>
      <c r="D132" s="31" t="s">
        <v>73</v>
      </c>
      <c r="E132" s="31" t="s">
        <v>473</v>
      </c>
      <c r="F132" s="32">
        <v>1000</v>
      </c>
      <c r="G132" s="32">
        <v>1000</v>
      </c>
      <c r="H132" s="33" t="s">
        <v>414</v>
      </c>
      <c r="I132" s="34">
        <f t="shared" si="77"/>
        <v>1</v>
      </c>
      <c r="J132" s="14">
        <f>F132*20</f>
        <v>20000</v>
      </c>
      <c r="K132" s="14">
        <f t="shared" si="78"/>
        <v>20</v>
      </c>
      <c r="L132" s="15">
        <f t="shared" si="79"/>
        <v>0</v>
      </c>
      <c r="M132" s="14">
        <f>20*(F132-G132)</f>
        <v>0</v>
      </c>
      <c r="N132" s="66">
        <v>3.85</v>
      </c>
      <c r="O132" s="14">
        <f>N132*1000*0.065</f>
        <v>250.25</v>
      </c>
      <c r="P132" s="14">
        <f t="shared" si="81"/>
        <v>0</v>
      </c>
      <c r="R132" s="59"/>
    </row>
    <row r="133" spans="2:18" s="8" customFormat="1" ht="12.75" hidden="1" customHeight="1" x14ac:dyDescent="0.25">
      <c r="B133" s="45">
        <v>46059</v>
      </c>
      <c r="C133" s="62" t="s">
        <v>477</v>
      </c>
      <c r="D133" s="31" t="s">
        <v>69</v>
      </c>
      <c r="E133" s="31" t="s">
        <v>473</v>
      </c>
      <c r="F133" s="32">
        <v>3000</v>
      </c>
      <c r="G133" s="32">
        <v>3000</v>
      </c>
      <c r="H133" s="33" t="s">
        <v>414</v>
      </c>
      <c r="I133" s="34">
        <f t="shared" si="68"/>
        <v>1</v>
      </c>
      <c r="J133" s="14">
        <f>F133*12</f>
        <v>36000</v>
      </c>
      <c r="K133" s="14">
        <f t="shared" si="69"/>
        <v>36</v>
      </c>
      <c r="L133" s="15">
        <f t="shared" si="70"/>
        <v>0</v>
      </c>
      <c r="M133" s="14">
        <f>12*(F133-G133)</f>
        <v>0</v>
      </c>
      <c r="N133" s="66">
        <v>3.85</v>
      </c>
      <c r="O133" s="14">
        <f t="shared" si="71"/>
        <v>250.25</v>
      </c>
      <c r="P133" s="14">
        <f t="shared" si="72"/>
        <v>0</v>
      </c>
      <c r="R133" s="59"/>
    </row>
    <row r="134" spans="2:18" s="8" customFormat="1" ht="12.75" hidden="1" customHeight="1" x14ac:dyDescent="0.25">
      <c r="B134" s="45">
        <v>46059</v>
      </c>
      <c r="C134" s="62" t="s">
        <v>477</v>
      </c>
      <c r="D134" s="31" t="s">
        <v>67</v>
      </c>
      <c r="E134" s="31" t="s">
        <v>473</v>
      </c>
      <c r="F134" s="32">
        <v>1000</v>
      </c>
      <c r="G134" s="32">
        <v>1000</v>
      </c>
      <c r="H134" s="33" t="s">
        <v>414</v>
      </c>
      <c r="I134" s="34">
        <f t="shared" si="68"/>
        <v>1</v>
      </c>
      <c r="J134" s="14">
        <f>F134*10</f>
        <v>10000</v>
      </c>
      <c r="K134" s="14">
        <f t="shared" si="69"/>
        <v>10</v>
      </c>
      <c r="L134" s="15">
        <f t="shared" si="70"/>
        <v>0</v>
      </c>
      <c r="M134" s="14">
        <f>10*(F134-G134)</f>
        <v>0</v>
      </c>
      <c r="N134" s="66">
        <v>3.85</v>
      </c>
      <c r="O134" s="14">
        <f t="shared" si="71"/>
        <v>250.25</v>
      </c>
      <c r="P134" s="14">
        <f t="shared" si="72"/>
        <v>0</v>
      </c>
      <c r="R134" s="59"/>
    </row>
    <row r="135" spans="2:18" s="8" customFormat="1" ht="12.75" hidden="1" customHeight="1" x14ac:dyDescent="0.25">
      <c r="B135" s="45">
        <v>46059</v>
      </c>
      <c r="C135" s="62" t="s">
        <v>478</v>
      </c>
      <c r="D135" s="31" t="s">
        <v>116</v>
      </c>
      <c r="E135" s="31" t="s">
        <v>473</v>
      </c>
      <c r="F135" s="32">
        <v>100</v>
      </c>
      <c r="G135" s="32">
        <v>100</v>
      </c>
      <c r="H135" s="33" t="s">
        <v>414</v>
      </c>
      <c r="I135" s="34">
        <f>IFERROR(G135/F135,0)</f>
        <v>1</v>
      </c>
      <c r="J135" s="14">
        <f>F135*15</f>
        <v>1500</v>
      </c>
      <c r="K135" s="14">
        <f>J135/1000</f>
        <v>1.5</v>
      </c>
      <c r="L135" s="15">
        <f>M135/1000</f>
        <v>0</v>
      </c>
      <c r="M135" s="14">
        <f>15*(F135-G135)</f>
        <v>0</v>
      </c>
      <c r="N135" s="66">
        <v>3.6</v>
      </c>
      <c r="O135" s="14">
        <f>N135*1000*0.09</f>
        <v>324</v>
      </c>
      <c r="P135" s="14">
        <f>O135*L135</f>
        <v>0</v>
      </c>
      <c r="R135" s="59"/>
    </row>
    <row r="136" spans="2:18" s="8" customFormat="1" ht="12.75" hidden="1" customHeight="1" x14ac:dyDescent="0.25">
      <c r="B136" s="45">
        <v>46059</v>
      </c>
      <c r="C136" s="62" t="s">
        <v>478</v>
      </c>
      <c r="D136" s="31" t="s">
        <v>108</v>
      </c>
      <c r="E136" s="31" t="s">
        <v>473</v>
      </c>
      <c r="F136" s="32">
        <v>500</v>
      </c>
      <c r="G136" s="32">
        <v>500</v>
      </c>
      <c r="H136" s="33" t="s">
        <v>414</v>
      </c>
      <c r="I136" s="34">
        <f>IFERROR(G136/F136,0)</f>
        <v>1</v>
      </c>
      <c r="J136" s="14">
        <f>F136*12</f>
        <v>6000</v>
      </c>
      <c r="K136" s="14">
        <f>J136/1000</f>
        <v>6</v>
      </c>
      <c r="L136" s="15">
        <f>M136/1000</f>
        <v>0</v>
      </c>
      <c r="M136" s="14">
        <f>12*(F136-G136)</f>
        <v>0</v>
      </c>
      <c r="N136" s="66">
        <v>3.6</v>
      </c>
      <c r="O136" s="14">
        <f>N136*1000*0.09</f>
        <v>324</v>
      </c>
      <c r="P136" s="14">
        <f>O136*L136</f>
        <v>0</v>
      </c>
      <c r="R136" s="59"/>
    </row>
    <row r="137" spans="2:18" s="8" customFormat="1" ht="12.75" hidden="1" customHeight="1" x14ac:dyDescent="0.25">
      <c r="B137" s="45">
        <v>46059</v>
      </c>
      <c r="C137" s="62" t="s">
        <v>478</v>
      </c>
      <c r="D137" s="31" t="s">
        <v>102</v>
      </c>
      <c r="E137" s="31" t="s">
        <v>473</v>
      </c>
      <c r="F137" s="32">
        <v>500</v>
      </c>
      <c r="G137" s="32">
        <v>500</v>
      </c>
      <c r="H137" s="33" t="s">
        <v>414</v>
      </c>
      <c r="I137" s="34">
        <f>IFERROR(G137/F137,0)</f>
        <v>1</v>
      </c>
      <c r="J137" s="14">
        <f>F137*10</f>
        <v>5000</v>
      </c>
      <c r="K137" s="14">
        <f>J137/1000</f>
        <v>5</v>
      </c>
      <c r="L137" s="15">
        <f>M137/1000</f>
        <v>0</v>
      </c>
      <c r="M137" s="14">
        <f>10*(F137-G137)</f>
        <v>0</v>
      </c>
      <c r="N137" s="66">
        <v>3.6</v>
      </c>
      <c r="O137" s="14">
        <f>N137*1000*0.09</f>
        <v>324</v>
      </c>
      <c r="P137" s="14">
        <f>O137*L137</f>
        <v>0</v>
      </c>
      <c r="R137" s="59"/>
    </row>
    <row r="138" spans="2:18" s="8" customFormat="1" ht="12.75" hidden="1" customHeight="1" x14ac:dyDescent="0.25">
      <c r="B138" s="45">
        <v>46038</v>
      </c>
      <c r="C138" s="62" t="s">
        <v>449</v>
      </c>
      <c r="D138" s="31" t="s">
        <v>88</v>
      </c>
      <c r="E138" s="31" t="s">
        <v>446</v>
      </c>
      <c r="F138" s="32">
        <v>100</v>
      </c>
      <c r="G138" s="32"/>
      <c r="H138" s="33" t="s">
        <v>414</v>
      </c>
      <c r="I138" s="34">
        <f t="shared" si="36"/>
        <v>0</v>
      </c>
      <c r="J138" s="14">
        <f t="shared" ref="J138:J156" si="82">F138*15</f>
        <v>1500</v>
      </c>
      <c r="K138" s="14">
        <f t="shared" ref="K138:K156" si="83">J138/1000</f>
        <v>1.5</v>
      </c>
      <c r="L138" s="15">
        <f t="shared" ref="L138:L156" si="84">M138/1000</f>
        <v>1.5</v>
      </c>
      <c r="M138" s="14">
        <f t="shared" ref="M138:M156" si="85">15*(F138-G138)</f>
        <v>1500</v>
      </c>
      <c r="N138" s="66">
        <v>4.5999999999999996</v>
      </c>
      <c r="O138" s="14">
        <f t="shared" ref="O138:O156" si="86">N138*1000*0.09</f>
        <v>414</v>
      </c>
      <c r="P138" s="14">
        <f t="shared" ref="P138:P156" si="87">O138*L138</f>
        <v>621</v>
      </c>
      <c r="R138" s="59"/>
    </row>
    <row r="139" spans="2:18" s="8" customFormat="1" ht="12.75" hidden="1" customHeight="1" x14ac:dyDescent="0.25">
      <c r="B139" s="45">
        <v>46038</v>
      </c>
      <c r="C139" s="62" t="s">
        <v>449</v>
      </c>
      <c r="D139" s="31" t="s">
        <v>104</v>
      </c>
      <c r="E139" s="31" t="s">
        <v>446</v>
      </c>
      <c r="F139" s="32">
        <v>20</v>
      </c>
      <c r="G139" s="32"/>
      <c r="H139" s="33" t="s">
        <v>414</v>
      </c>
      <c r="I139" s="34">
        <f t="shared" si="36"/>
        <v>0</v>
      </c>
      <c r="J139" s="14">
        <f t="shared" si="82"/>
        <v>300</v>
      </c>
      <c r="K139" s="14">
        <f t="shared" si="83"/>
        <v>0.3</v>
      </c>
      <c r="L139" s="15">
        <f t="shared" si="84"/>
        <v>0.3</v>
      </c>
      <c r="M139" s="14">
        <f t="shared" si="85"/>
        <v>300</v>
      </c>
      <c r="N139" s="66">
        <v>5.6</v>
      </c>
      <c r="O139" s="14">
        <f t="shared" si="86"/>
        <v>504</v>
      </c>
      <c r="P139" s="14">
        <f t="shared" si="87"/>
        <v>151.19999999999999</v>
      </c>
      <c r="R139" s="59"/>
    </row>
    <row r="140" spans="2:18" s="8" customFormat="1" ht="12.75" hidden="1" customHeight="1" x14ac:dyDescent="0.25">
      <c r="B140" s="45">
        <v>46038</v>
      </c>
      <c r="C140" s="62" t="s">
        <v>449</v>
      </c>
      <c r="D140" s="31" t="s">
        <v>112</v>
      </c>
      <c r="E140" s="31" t="s">
        <v>446</v>
      </c>
      <c r="F140" s="32">
        <v>10</v>
      </c>
      <c r="G140" s="32"/>
      <c r="H140" s="33" t="s">
        <v>414</v>
      </c>
      <c r="I140" s="34">
        <f t="shared" si="36"/>
        <v>0</v>
      </c>
      <c r="J140" s="14">
        <f t="shared" si="82"/>
        <v>150</v>
      </c>
      <c r="K140" s="14">
        <f t="shared" si="83"/>
        <v>0.15</v>
      </c>
      <c r="L140" s="15">
        <f t="shared" si="84"/>
        <v>0.15</v>
      </c>
      <c r="M140" s="14">
        <f t="shared" si="85"/>
        <v>150</v>
      </c>
      <c r="N140" s="66">
        <v>6.6</v>
      </c>
      <c r="O140" s="14">
        <f t="shared" si="86"/>
        <v>594</v>
      </c>
      <c r="P140" s="14">
        <f t="shared" si="87"/>
        <v>89.1</v>
      </c>
      <c r="R140" s="59"/>
    </row>
    <row r="141" spans="2:18" s="8" customFormat="1" ht="12.75" hidden="1" customHeight="1" x14ac:dyDescent="0.25">
      <c r="B141" s="45">
        <v>46038</v>
      </c>
      <c r="C141" s="62" t="s">
        <v>449</v>
      </c>
      <c r="D141" s="31" t="s">
        <v>241</v>
      </c>
      <c r="E141" s="31" t="s">
        <v>446</v>
      </c>
      <c r="F141" s="32">
        <v>10</v>
      </c>
      <c r="G141" s="32"/>
      <c r="H141" s="33" t="s">
        <v>414</v>
      </c>
      <c r="I141" s="34">
        <f t="shared" si="36"/>
        <v>0</v>
      </c>
      <c r="J141" s="14">
        <f t="shared" si="82"/>
        <v>150</v>
      </c>
      <c r="K141" s="14">
        <f t="shared" si="83"/>
        <v>0.15</v>
      </c>
      <c r="L141" s="15">
        <f t="shared" si="84"/>
        <v>0.15</v>
      </c>
      <c r="M141" s="14">
        <f t="shared" si="85"/>
        <v>150</v>
      </c>
      <c r="N141" s="66">
        <v>7.6</v>
      </c>
      <c r="O141" s="14">
        <f t="shared" si="86"/>
        <v>684</v>
      </c>
      <c r="P141" s="14">
        <f t="shared" si="87"/>
        <v>102.6</v>
      </c>
      <c r="R141" s="59"/>
    </row>
    <row r="142" spans="2:18" s="8" customFormat="1" ht="12.75" hidden="1" customHeight="1" x14ac:dyDescent="0.25">
      <c r="B142" s="45">
        <v>46045</v>
      </c>
      <c r="C142" s="62" t="s">
        <v>453</v>
      </c>
      <c r="D142" s="31" t="s">
        <v>96</v>
      </c>
      <c r="E142" s="31" t="s">
        <v>454</v>
      </c>
      <c r="F142" s="32">
        <v>30</v>
      </c>
      <c r="G142" s="32"/>
      <c r="H142" s="33" t="s">
        <v>414</v>
      </c>
      <c r="I142" s="34">
        <f t="shared" si="36"/>
        <v>0</v>
      </c>
      <c r="J142" s="14">
        <f t="shared" si="82"/>
        <v>450</v>
      </c>
      <c r="K142" s="14">
        <f t="shared" si="83"/>
        <v>0.45</v>
      </c>
      <c r="L142" s="15">
        <f t="shared" si="84"/>
        <v>0.45</v>
      </c>
      <c r="M142" s="14">
        <f t="shared" si="85"/>
        <v>450</v>
      </c>
      <c r="N142" s="66">
        <v>8.6</v>
      </c>
      <c r="O142" s="14">
        <f t="shared" si="86"/>
        <v>774</v>
      </c>
      <c r="P142" s="14">
        <f t="shared" si="87"/>
        <v>348.3</v>
      </c>
      <c r="R142" s="59"/>
    </row>
    <row r="143" spans="2:18" s="8" customFormat="1" ht="12.75" hidden="1" customHeight="1" x14ac:dyDescent="0.25">
      <c r="B143" s="45">
        <v>46045</v>
      </c>
      <c r="C143" s="62" t="s">
        <v>453</v>
      </c>
      <c r="D143" s="31" t="s">
        <v>104</v>
      </c>
      <c r="E143" s="31" t="s">
        <v>454</v>
      </c>
      <c r="F143" s="32">
        <v>40</v>
      </c>
      <c r="G143" s="32"/>
      <c r="H143" s="33" t="s">
        <v>414</v>
      </c>
      <c r="I143" s="34">
        <f t="shared" si="36"/>
        <v>0</v>
      </c>
      <c r="J143" s="14">
        <f t="shared" si="82"/>
        <v>600</v>
      </c>
      <c r="K143" s="14">
        <f t="shared" si="83"/>
        <v>0.6</v>
      </c>
      <c r="L143" s="15">
        <f t="shared" si="84"/>
        <v>0.6</v>
      </c>
      <c r="M143" s="14">
        <f t="shared" si="85"/>
        <v>600</v>
      </c>
      <c r="N143" s="66">
        <v>9.6</v>
      </c>
      <c r="O143" s="14">
        <f t="shared" si="86"/>
        <v>864</v>
      </c>
      <c r="P143" s="14">
        <f t="shared" si="87"/>
        <v>518.4</v>
      </c>
      <c r="R143" s="59"/>
    </row>
    <row r="144" spans="2:18" s="8" customFormat="1" ht="12.75" hidden="1" customHeight="1" x14ac:dyDescent="0.25">
      <c r="B144" s="45">
        <v>46045</v>
      </c>
      <c r="C144" s="62" t="s">
        <v>453</v>
      </c>
      <c r="D144" s="31" t="s">
        <v>112</v>
      </c>
      <c r="E144" s="31" t="s">
        <v>454</v>
      </c>
      <c r="F144" s="32">
        <v>10</v>
      </c>
      <c r="G144" s="32"/>
      <c r="H144" s="33" t="s">
        <v>414</v>
      </c>
      <c r="I144" s="34">
        <f t="shared" si="36"/>
        <v>0</v>
      </c>
      <c r="J144" s="14">
        <f t="shared" si="82"/>
        <v>150</v>
      </c>
      <c r="K144" s="14">
        <f t="shared" si="83"/>
        <v>0.15</v>
      </c>
      <c r="L144" s="15">
        <f t="shared" si="84"/>
        <v>0.15</v>
      </c>
      <c r="M144" s="14">
        <f t="shared" si="85"/>
        <v>150</v>
      </c>
      <c r="N144" s="66">
        <v>10.6</v>
      </c>
      <c r="O144" s="14">
        <f t="shared" si="86"/>
        <v>954</v>
      </c>
      <c r="P144" s="14">
        <f t="shared" si="87"/>
        <v>143.1</v>
      </c>
      <c r="R144" s="59"/>
    </row>
    <row r="145" spans="2:18" s="8" customFormat="1" ht="12.75" hidden="1" customHeight="1" x14ac:dyDescent="0.25">
      <c r="B145" s="45">
        <v>46045</v>
      </c>
      <c r="C145" s="62" t="s">
        <v>455</v>
      </c>
      <c r="D145" s="31" t="s">
        <v>104</v>
      </c>
      <c r="E145" s="31" t="s">
        <v>456</v>
      </c>
      <c r="F145" s="32">
        <v>40</v>
      </c>
      <c r="G145" s="32"/>
      <c r="H145" s="33" t="s">
        <v>414</v>
      </c>
      <c r="I145" s="34">
        <f t="shared" si="36"/>
        <v>0</v>
      </c>
      <c r="J145" s="14">
        <f t="shared" si="82"/>
        <v>600</v>
      </c>
      <c r="K145" s="14">
        <f t="shared" si="83"/>
        <v>0.6</v>
      </c>
      <c r="L145" s="15">
        <f t="shared" si="84"/>
        <v>0.6</v>
      </c>
      <c r="M145" s="14">
        <f t="shared" si="85"/>
        <v>600</v>
      </c>
      <c r="N145" s="66">
        <v>11.6</v>
      </c>
      <c r="O145" s="14">
        <f t="shared" si="86"/>
        <v>1044</v>
      </c>
      <c r="P145" s="14">
        <f t="shared" si="87"/>
        <v>626.4</v>
      </c>
      <c r="R145" s="59"/>
    </row>
    <row r="146" spans="2:18" s="8" customFormat="1" ht="12.75" hidden="1" customHeight="1" x14ac:dyDescent="0.25">
      <c r="B146" s="45">
        <v>46045</v>
      </c>
      <c r="C146" s="62" t="s">
        <v>455</v>
      </c>
      <c r="D146" s="31" t="s">
        <v>112</v>
      </c>
      <c r="E146" s="31" t="s">
        <v>456</v>
      </c>
      <c r="F146" s="32">
        <v>20</v>
      </c>
      <c r="G146" s="32"/>
      <c r="H146" s="33" t="s">
        <v>414</v>
      </c>
      <c r="I146" s="34">
        <f t="shared" si="36"/>
        <v>0</v>
      </c>
      <c r="J146" s="14">
        <f t="shared" si="82"/>
        <v>300</v>
      </c>
      <c r="K146" s="14">
        <f t="shared" si="83"/>
        <v>0.3</v>
      </c>
      <c r="L146" s="15">
        <f t="shared" si="84"/>
        <v>0.3</v>
      </c>
      <c r="M146" s="14">
        <f t="shared" si="85"/>
        <v>300</v>
      </c>
      <c r="N146" s="66">
        <v>12.6</v>
      </c>
      <c r="O146" s="14">
        <f t="shared" si="86"/>
        <v>1134</v>
      </c>
      <c r="P146" s="14">
        <f t="shared" si="87"/>
        <v>340.2</v>
      </c>
      <c r="R146" s="59"/>
    </row>
    <row r="147" spans="2:18" s="8" customFormat="1" ht="12.75" hidden="1" customHeight="1" x14ac:dyDescent="0.25">
      <c r="B147" s="45">
        <v>46045</v>
      </c>
      <c r="C147" s="62" t="s">
        <v>457</v>
      </c>
      <c r="D147" s="31" t="s">
        <v>447</v>
      </c>
      <c r="E147" s="31" t="s">
        <v>458</v>
      </c>
      <c r="F147" s="32">
        <v>30</v>
      </c>
      <c r="G147" s="32"/>
      <c r="H147" s="33" t="s">
        <v>414</v>
      </c>
      <c r="I147" s="34">
        <f t="shared" si="36"/>
        <v>0</v>
      </c>
      <c r="J147" s="14">
        <f t="shared" si="82"/>
        <v>450</v>
      </c>
      <c r="K147" s="14">
        <f t="shared" si="83"/>
        <v>0.45</v>
      </c>
      <c r="L147" s="15">
        <f t="shared" si="84"/>
        <v>0.45</v>
      </c>
      <c r="M147" s="14">
        <f t="shared" si="85"/>
        <v>450</v>
      </c>
      <c r="N147" s="66">
        <v>13.6</v>
      </c>
      <c r="O147" s="14">
        <f t="shared" si="86"/>
        <v>1224</v>
      </c>
      <c r="P147" s="14">
        <f t="shared" si="87"/>
        <v>550.80000000000007</v>
      </c>
      <c r="R147" s="59"/>
    </row>
    <row r="148" spans="2:18" s="8" customFormat="1" ht="12.75" hidden="1" customHeight="1" x14ac:dyDescent="0.25">
      <c r="B148" s="45">
        <v>46045</v>
      </c>
      <c r="C148" s="62" t="s">
        <v>457</v>
      </c>
      <c r="D148" s="31" t="s">
        <v>96</v>
      </c>
      <c r="E148" s="31" t="s">
        <v>458</v>
      </c>
      <c r="F148" s="32">
        <v>30</v>
      </c>
      <c r="G148" s="32"/>
      <c r="H148" s="33" t="s">
        <v>414</v>
      </c>
      <c r="I148" s="34">
        <f t="shared" si="36"/>
        <v>0</v>
      </c>
      <c r="J148" s="14">
        <f t="shared" si="82"/>
        <v>450</v>
      </c>
      <c r="K148" s="14">
        <f t="shared" si="83"/>
        <v>0.45</v>
      </c>
      <c r="L148" s="15">
        <f t="shared" si="84"/>
        <v>0.45</v>
      </c>
      <c r="M148" s="14">
        <f t="shared" si="85"/>
        <v>450</v>
      </c>
      <c r="N148" s="66">
        <v>14.6</v>
      </c>
      <c r="O148" s="14">
        <f t="shared" si="86"/>
        <v>1314</v>
      </c>
      <c r="P148" s="14">
        <f t="shared" si="87"/>
        <v>591.30000000000007</v>
      </c>
      <c r="R148" s="59"/>
    </row>
    <row r="149" spans="2:18" s="8" customFormat="1" ht="12.75" hidden="1" customHeight="1" x14ac:dyDescent="0.25">
      <c r="B149" s="45">
        <v>46045</v>
      </c>
      <c r="C149" s="62" t="s">
        <v>457</v>
      </c>
      <c r="D149" s="31" t="s">
        <v>104</v>
      </c>
      <c r="E149" s="31" t="s">
        <v>458</v>
      </c>
      <c r="F149" s="32">
        <v>20</v>
      </c>
      <c r="G149" s="32"/>
      <c r="H149" s="33" t="s">
        <v>414</v>
      </c>
      <c r="I149" s="34">
        <f t="shared" si="36"/>
        <v>0</v>
      </c>
      <c r="J149" s="14">
        <f t="shared" si="82"/>
        <v>300</v>
      </c>
      <c r="K149" s="14">
        <f t="shared" si="83"/>
        <v>0.3</v>
      </c>
      <c r="L149" s="15">
        <f t="shared" si="84"/>
        <v>0.3</v>
      </c>
      <c r="M149" s="14">
        <f t="shared" si="85"/>
        <v>300</v>
      </c>
      <c r="N149" s="66">
        <v>15.6</v>
      </c>
      <c r="O149" s="14">
        <f t="shared" si="86"/>
        <v>1404</v>
      </c>
      <c r="P149" s="14">
        <f t="shared" si="87"/>
        <v>421.2</v>
      </c>
      <c r="R149" s="59"/>
    </row>
    <row r="150" spans="2:18" s="8" customFormat="1" ht="12.75" hidden="1" customHeight="1" x14ac:dyDescent="0.25">
      <c r="B150" s="45">
        <v>46045</v>
      </c>
      <c r="C150" s="62" t="s">
        <v>457</v>
      </c>
      <c r="D150" s="31" t="s">
        <v>112</v>
      </c>
      <c r="E150" s="31" t="s">
        <v>458</v>
      </c>
      <c r="F150" s="32">
        <v>10</v>
      </c>
      <c r="G150" s="32"/>
      <c r="H150" s="33" t="s">
        <v>414</v>
      </c>
      <c r="I150" s="34">
        <f t="shared" si="36"/>
        <v>0</v>
      </c>
      <c r="J150" s="14">
        <f t="shared" si="82"/>
        <v>150</v>
      </c>
      <c r="K150" s="14">
        <f t="shared" si="83"/>
        <v>0.15</v>
      </c>
      <c r="L150" s="15">
        <f t="shared" si="84"/>
        <v>0.15</v>
      </c>
      <c r="M150" s="14">
        <f t="shared" si="85"/>
        <v>150</v>
      </c>
      <c r="N150" s="66">
        <v>16.600000000000001</v>
      </c>
      <c r="O150" s="14">
        <f t="shared" si="86"/>
        <v>1494</v>
      </c>
      <c r="P150" s="14">
        <f t="shared" si="87"/>
        <v>224.1</v>
      </c>
      <c r="R150" s="59"/>
    </row>
    <row r="151" spans="2:18" s="8" customFormat="1" ht="12.75" hidden="1" customHeight="1" x14ac:dyDescent="0.25">
      <c r="B151" s="45">
        <v>45997</v>
      </c>
      <c r="C151" s="62"/>
      <c r="D151" s="31" t="s">
        <v>418</v>
      </c>
      <c r="E151" s="31" t="s">
        <v>438</v>
      </c>
      <c r="F151" s="32">
        <v>20000</v>
      </c>
      <c r="G151" s="32">
        <v>6700</v>
      </c>
      <c r="H151" s="33" t="s">
        <v>414</v>
      </c>
      <c r="I151" s="34">
        <f>IFERROR(G151/F151,0)</f>
        <v>0.33500000000000002</v>
      </c>
      <c r="J151" s="14">
        <f t="shared" si="82"/>
        <v>300000</v>
      </c>
      <c r="K151" s="14">
        <f t="shared" si="83"/>
        <v>300</v>
      </c>
      <c r="L151" s="15">
        <f t="shared" si="84"/>
        <v>199.5</v>
      </c>
      <c r="M151" s="14">
        <f t="shared" si="85"/>
        <v>199500</v>
      </c>
      <c r="N151" s="66">
        <v>17.600000000000001</v>
      </c>
      <c r="O151" s="14">
        <f t="shared" si="86"/>
        <v>1584</v>
      </c>
      <c r="P151" s="14">
        <f t="shared" si="87"/>
        <v>316008</v>
      </c>
      <c r="R151" s="59"/>
    </row>
    <row r="152" spans="2:18" s="8" customFormat="1" ht="12.75" hidden="1" customHeight="1" x14ac:dyDescent="0.25">
      <c r="B152" s="45">
        <v>45997</v>
      </c>
      <c r="C152" s="39"/>
      <c r="D152" s="31" t="s">
        <v>57</v>
      </c>
      <c r="E152" s="31" t="s">
        <v>438</v>
      </c>
      <c r="F152" s="32">
        <v>7000</v>
      </c>
      <c r="G152" s="32"/>
      <c r="H152" s="33" t="s">
        <v>414</v>
      </c>
      <c r="I152" s="34">
        <f t="shared" si="35"/>
        <v>0</v>
      </c>
      <c r="J152" s="14">
        <f t="shared" si="82"/>
        <v>105000</v>
      </c>
      <c r="K152" s="14">
        <f t="shared" si="83"/>
        <v>105</v>
      </c>
      <c r="L152" s="15">
        <f t="shared" si="84"/>
        <v>105</v>
      </c>
      <c r="M152" s="14">
        <f t="shared" si="85"/>
        <v>105000</v>
      </c>
      <c r="N152" s="66">
        <v>18.600000000000001</v>
      </c>
      <c r="O152" s="14">
        <f t="shared" si="86"/>
        <v>1674</v>
      </c>
      <c r="P152" s="14">
        <f t="shared" si="87"/>
        <v>175770</v>
      </c>
      <c r="R152" s="59"/>
    </row>
    <row r="153" spans="2:18" s="8" customFormat="1" ht="12.75" hidden="1" customHeight="1" x14ac:dyDescent="0.25">
      <c r="B153" s="45">
        <v>45997</v>
      </c>
      <c r="C153" s="39"/>
      <c r="D153" s="31" t="s">
        <v>59</v>
      </c>
      <c r="E153" s="31" t="s">
        <v>438</v>
      </c>
      <c r="F153" s="32">
        <v>7000</v>
      </c>
      <c r="G153" s="32"/>
      <c r="H153" s="33" t="s">
        <v>414</v>
      </c>
      <c r="I153" s="34">
        <f t="shared" si="35"/>
        <v>0</v>
      </c>
      <c r="J153" s="14">
        <f t="shared" si="82"/>
        <v>105000</v>
      </c>
      <c r="K153" s="14">
        <f t="shared" si="83"/>
        <v>105</v>
      </c>
      <c r="L153" s="15">
        <f t="shared" si="84"/>
        <v>105</v>
      </c>
      <c r="M153" s="14">
        <f t="shared" si="85"/>
        <v>105000</v>
      </c>
      <c r="N153" s="66">
        <v>19.600000000000001</v>
      </c>
      <c r="O153" s="14">
        <f t="shared" si="86"/>
        <v>1764</v>
      </c>
      <c r="P153" s="14">
        <f t="shared" si="87"/>
        <v>185220</v>
      </c>
      <c r="R153" s="59"/>
    </row>
    <row r="154" spans="2:18" s="8" customFormat="1" ht="12.75" hidden="1" customHeight="1" x14ac:dyDescent="0.25">
      <c r="B154" s="45">
        <v>45997</v>
      </c>
      <c r="C154" s="39"/>
      <c r="D154" s="31" t="s">
        <v>61</v>
      </c>
      <c r="E154" s="31" t="s">
        <v>438</v>
      </c>
      <c r="F154" s="32">
        <v>4000</v>
      </c>
      <c r="G154" s="32"/>
      <c r="H154" s="33" t="s">
        <v>414</v>
      </c>
      <c r="I154" s="34">
        <f t="shared" si="35"/>
        <v>0</v>
      </c>
      <c r="J154" s="14">
        <f t="shared" si="82"/>
        <v>60000</v>
      </c>
      <c r="K154" s="14">
        <f t="shared" si="83"/>
        <v>60</v>
      </c>
      <c r="L154" s="15">
        <f t="shared" si="84"/>
        <v>60</v>
      </c>
      <c r="M154" s="14">
        <f t="shared" si="85"/>
        <v>60000</v>
      </c>
      <c r="N154" s="66">
        <v>20.6</v>
      </c>
      <c r="O154" s="14">
        <f t="shared" si="86"/>
        <v>1854</v>
      </c>
      <c r="P154" s="14">
        <f t="shared" si="87"/>
        <v>111240</v>
      </c>
      <c r="R154" s="59"/>
    </row>
    <row r="155" spans="2:18" s="8" customFormat="1" ht="12.75" hidden="1" customHeight="1" x14ac:dyDescent="0.25">
      <c r="B155" s="45">
        <v>45997</v>
      </c>
      <c r="C155" s="39"/>
      <c r="D155" s="31" t="s">
        <v>63</v>
      </c>
      <c r="E155" s="31" t="s">
        <v>438</v>
      </c>
      <c r="F155" s="32">
        <v>2000</v>
      </c>
      <c r="G155" s="32"/>
      <c r="H155" s="33" t="s">
        <v>414</v>
      </c>
      <c r="I155" s="34">
        <f t="shared" si="35"/>
        <v>0</v>
      </c>
      <c r="J155" s="14">
        <f t="shared" si="82"/>
        <v>30000</v>
      </c>
      <c r="K155" s="14">
        <f t="shared" si="83"/>
        <v>30</v>
      </c>
      <c r="L155" s="15">
        <f t="shared" si="84"/>
        <v>30</v>
      </c>
      <c r="M155" s="14">
        <f t="shared" si="85"/>
        <v>30000</v>
      </c>
      <c r="N155" s="66">
        <v>21.6</v>
      </c>
      <c r="O155" s="14">
        <f t="shared" si="86"/>
        <v>1944</v>
      </c>
      <c r="P155" s="14">
        <f t="shared" si="87"/>
        <v>58320</v>
      </c>
      <c r="R155" s="59"/>
    </row>
    <row r="156" spans="2:18" s="8" customFormat="1" ht="12.75" hidden="1" customHeight="1" x14ac:dyDescent="0.25">
      <c r="B156" s="45">
        <v>45997</v>
      </c>
      <c r="C156" s="39"/>
      <c r="D156" s="31" t="s">
        <v>55</v>
      </c>
      <c r="E156" s="31" t="s">
        <v>438</v>
      </c>
      <c r="F156" s="32">
        <v>2000</v>
      </c>
      <c r="G156" s="32"/>
      <c r="H156" s="33" t="s">
        <v>414</v>
      </c>
      <c r="I156" s="34">
        <f t="shared" si="35"/>
        <v>0</v>
      </c>
      <c r="J156" s="14">
        <f t="shared" si="82"/>
        <v>30000</v>
      </c>
      <c r="K156" s="14">
        <f t="shared" si="83"/>
        <v>30</v>
      </c>
      <c r="L156" s="15">
        <f t="shared" si="84"/>
        <v>30</v>
      </c>
      <c r="M156" s="14">
        <f t="shared" si="85"/>
        <v>30000</v>
      </c>
      <c r="N156" s="66">
        <v>22.6</v>
      </c>
      <c r="O156" s="14">
        <f t="shared" si="86"/>
        <v>2034</v>
      </c>
      <c r="P156" s="14">
        <f t="shared" si="87"/>
        <v>61020</v>
      </c>
      <c r="R156" s="59"/>
    </row>
    <row r="157" spans="2:18" s="8" customFormat="1" ht="12.75" hidden="1" customHeight="1" x14ac:dyDescent="0.25">
      <c r="B157" s="45">
        <v>46091</v>
      </c>
      <c r="C157" s="39" t="s">
        <v>491</v>
      </c>
      <c r="D157" s="31" t="s">
        <v>67</v>
      </c>
      <c r="E157" s="31" t="s">
        <v>473</v>
      </c>
      <c r="F157" s="32">
        <v>4000</v>
      </c>
      <c r="G157" s="32">
        <v>4000</v>
      </c>
      <c r="H157" s="33" t="s">
        <v>414</v>
      </c>
      <c r="I157" s="34">
        <f>IFERROR(G157/F157,0)</f>
        <v>1</v>
      </c>
      <c r="J157" s="14">
        <f>F157*10</f>
        <v>40000</v>
      </c>
      <c r="K157" s="14">
        <f t="shared" ref="K157" si="88">J157/1000</f>
        <v>40</v>
      </c>
      <c r="L157" s="15">
        <f t="shared" ref="L157" si="89">M157/1000</f>
        <v>0</v>
      </c>
      <c r="M157" s="14">
        <f>10*(F157-G157)</f>
        <v>0</v>
      </c>
      <c r="N157" s="66">
        <v>3.85</v>
      </c>
      <c r="O157" s="14">
        <f t="shared" ref="O157" si="90">N157*1000*0.065</f>
        <v>250.25</v>
      </c>
      <c r="P157" s="14">
        <f t="shared" ref="P157" si="91">O157*L157</f>
        <v>0</v>
      </c>
      <c r="R157" s="59"/>
    </row>
    <row r="158" spans="2:18" s="8" customFormat="1" ht="12.75" hidden="1" customHeight="1" x14ac:dyDescent="0.25">
      <c r="B158" s="45">
        <v>46091</v>
      </c>
      <c r="C158" s="39" t="s">
        <v>491</v>
      </c>
      <c r="D158" s="31" t="s">
        <v>69</v>
      </c>
      <c r="E158" s="31" t="s">
        <v>473</v>
      </c>
      <c r="F158" s="32">
        <v>2000</v>
      </c>
      <c r="G158" s="32">
        <v>2000</v>
      </c>
      <c r="H158" s="33" t="s">
        <v>414</v>
      </c>
      <c r="I158" s="34">
        <f t="shared" ref="I158" si="92">IFERROR(G158/F158,0)</f>
        <v>1</v>
      </c>
      <c r="J158" s="14">
        <f>F158*12</f>
        <v>24000</v>
      </c>
      <c r="K158" s="14">
        <f>J158/1000</f>
        <v>24</v>
      </c>
      <c r="L158" s="15">
        <f>M158/1000</f>
        <v>0</v>
      </c>
      <c r="M158" s="14">
        <f>12*(F158-G158)</f>
        <v>0</v>
      </c>
      <c r="N158" s="66">
        <v>3.85</v>
      </c>
      <c r="O158" s="14">
        <f>N158*1000*0.065</f>
        <v>250.25</v>
      </c>
      <c r="P158" s="14">
        <f>O158*L158</f>
        <v>0</v>
      </c>
      <c r="R158" s="59"/>
    </row>
    <row r="159" spans="2:18" s="8" customFormat="1" ht="12.75" hidden="1" customHeight="1" x14ac:dyDescent="0.25">
      <c r="B159" s="45">
        <v>46100</v>
      </c>
      <c r="C159" s="39" t="s">
        <v>492</v>
      </c>
      <c r="D159" s="31" t="s">
        <v>494</v>
      </c>
      <c r="E159" s="31" t="s">
        <v>493</v>
      </c>
      <c r="F159" s="32">
        <v>500</v>
      </c>
      <c r="G159" s="32">
        <v>500</v>
      </c>
      <c r="H159" s="33" t="s">
        <v>14</v>
      </c>
      <c r="I159" s="34">
        <f t="shared" ref="I159:I162" si="93">IFERROR(G159/F159,0)</f>
        <v>1</v>
      </c>
      <c r="J159" s="14">
        <f>F159*6</f>
        <v>3000</v>
      </c>
      <c r="K159" s="14">
        <f t="shared" ref="K159:K164" si="94">J159/1000</f>
        <v>3</v>
      </c>
      <c r="L159" s="15">
        <f t="shared" ref="L159:L164" si="95">M159/1000</f>
        <v>0</v>
      </c>
      <c r="M159" s="14">
        <f>6*(F159-G159)</f>
        <v>0</v>
      </c>
      <c r="N159" s="66">
        <v>2.52</v>
      </c>
      <c r="O159" s="14">
        <f>N159*1000*0.065</f>
        <v>163.80000000000001</v>
      </c>
      <c r="P159" s="14">
        <f t="shared" ref="P159:P164" si="96">O159*L159</f>
        <v>0</v>
      </c>
      <c r="R159" s="59"/>
    </row>
    <row r="160" spans="2:18" s="8" customFormat="1" ht="12.75" hidden="1" customHeight="1" x14ac:dyDescent="0.25">
      <c r="B160" s="45">
        <v>46100</v>
      </c>
      <c r="C160" s="39" t="s">
        <v>492</v>
      </c>
      <c r="D160" s="31" t="s">
        <v>43</v>
      </c>
      <c r="E160" s="31" t="s">
        <v>493</v>
      </c>
      <c r="F160" s="32">
        <v>1000</v>
      </c>
      <c r="G160" s="32">
        <v>1000</v>
      </c>
      <c r="H160" s="33" t="s">
        <v>14</v>
      </c>
      <c r="I160" s="34">
        <f t="shared" si="93"/>
        <v>1</v>
      </c>
      <c r="J160" s="14">
        <f>F160*8</f>
        <v>8000</v>
      </c>
      <c r="K160" s="14">
        <f t="shared" si="94"/>
        <v>8</v>
      </c>
      <c r="L160" s="15">
        <f t="shared" si="95"/>
        <v>0</v>
      </c>
      <c r="M160" s="14">
        <f>8*(F160-G160)</f>
        <v>0</v>
      </c>
      <c r="N160" s="66">
        <v>2.7</v>
      </c>
      <c r="O160" s="14">
        <f>N160*1000*0.065</f>
        <v>175.5</v>
      </c>
      <c r="P160" s="14">
        <f t="shared" si="96"/>
        <v>0</v>
      </c>
      <c r="R160" s="59"/>
    </row>
    <row r="161" spans="2:18" s="8" customFormat="1" ht="12.75" hidden="1" customHeight="1" x14ac:dyDescent="0.25">
      <c r="B161" s="45">
        <v>46100</v>
      </c>
      <c r="C161" s="39" t="s">
        <v>492</v>
      </c>
      <c r="D161" s="31" t="s">
        <v>45</v>
      </c>
      <c r="E161" s="31" t="s">
        <v>493</v>
      </c>
      <c r="F161" s="32">
        <v>500</v>
      </c>
      <c r="G161" s="32">
        <v>500</v>
      </c>
      <c r="H161" s="33" t="s">
        <v>14</v>
      </c>
      <c r="I161" s="34">
        <f t="shared" si="93"/>
        <v>1</v>
      </c>
      <c r="J161" s="14">
        <f>F161*10</f>
        <v>5000</v>
      </c>
      <c r="K161" s="14">
        <f t="shared" si="94"/>
        <v>5</v>
      </c>
      <c r="L161" s="15">
        <f t="shared" si="95"/>
        <v>0</v>
      </c>
      <c r="M161" s="14">
        <f>10*(F161-G161)</f>
        <v>0</v>
      </c>
      <c r="N161" s="66">
        <v>2.7</v>
      </c>
      <c r="O161" s="14">
        <f>N161*1000*0.065</f>
        <v>175.5</v>
      </c>
      <c r="P161" s="14">
        <f t="shared" si="96"/>
        <v>0</v>
      </c>
      <c r="R161" s="59"/>
    </row>
    <row r="162" spans="2:18" s="8" customFormat="1" ht="12.75" hidden="1" customHeight="1" x14ac:dyDescent="0.25">
      <c r="B162" s="45">
        <v>46100</v>
      </c>
      <c r="C162" s="39" t="s">
        <v>492</v>
      </c>
      <c r="D162" s="31" t="s">
        <v>47</v>
      </c>
      <c r="E162" s="31" t="s">
        <v>493</v>
      </c>
      <c r="F162" s="32">
        <v>500</v>
      </c>
      <c r="G162" s="32">
        <v>500</v>
      </c>
      <c r="H162" s="33" t="s">
        <v>14</v>
      </c>
      <c r="I162" s="34">
        <f t="shared" si="93"/>
        <v>1</v>
      </c>
      <c r="J162" s="14">
        <f>F162*12</f>
        <v>6000</v>
      </c>
      <c r="K162" s="14">
        <f t="shared" si="94"/>
        <v>6</v>
      </c>
      <c r="L162" s="15">
        <f t="shared" si="95"/>
        <v>0</v>
      </c>
      <c r="M162" s="14">
        <f>12*(F162-G162)</f>
        <v>0</v>
      </c>
      <c r="N162" s="66">
        <v>2.7</v>
      </c>
      <c r="O162" s="14">
        <f t="shared" ref="O162" si="97">N162*1000*0.065</f>
        <v>175.5</v>
      </c>
      <c r="P162" s="14">
        <f t="shared" si="96"/>
        <v>0</v>
      </c>
      <c r="R162" s="59"/>
    </row>
    <row r="163" spans="2:18" s="8" customFormat="1" ht="12.75" hidden="1" customHeight="1" x14ac:dyDescent="0.25">
      <c r="B163" s="45">
        <v>46100</v>
      </c>
      <c r="C163" s="39" t="s">
        <v>492</v>
      </c>
      <c r="D163" s="31" t="s">
        <v>59</v>
      </c>
      <c r="E163" s="31" t="s">
        <v>493</v>
      </c>
      <c r="F163" s="32">
        <v>2000</v>
      </c>
      <c r="G163" s="32">
        <v>2000</v>
      </c>
      <c r="H163" s="33" t="s">
        <v>14</v>
      </c>
      <c r="I163" s="34">
        <f>IFERROR(G163/F163,0)</f>
        <v>1</v>
      </c>
      <c r="J163" s="14">
        <f>F163*12</f>
        <v>24000</v>
      </c>
      <c r="K163" s="14">
        <f>J163/1000</f>
        <v>24</v>
      </c>
      <c r="L163" s="15">
        <f>M163/1000</f>
        <v>0</v>
      </c>
      <c r="M163" s="14">
        <f>12*(F163-G163)</f>
        <v>0</v>
      </c>
      <c r="N163" s="66">
        <v>3.6</v>
      </c>
      <c r="O163" s="14">
        <f>N163*1000*0.065</f>
        <v>234</v>
      </c>
      <c r="P163" s="14">
        <f>O163*L163</f>
        <v>0</v>
      </c>
      <c r="R163" s="59"/>
    </row>
    <row r="164" spans="2:18" s="8" customFormat="1" ht="12.75" hidden="1" customHeight="1" x14ac:dyDescent="0.25">
      <c r="B164" s="45">
        <v>46100</v>
      </c>
      <c r="C164" s="39" t="s">
        <v>492</v>
      </c>
      <c r="D164" s="31" t="s">
        <v>108</v>
      </c>
      <c r="E164" s="31" t="s">
        <v>493</v>
      </c>
      <c r="F164" s="32">
        <v>1000</v>
      </c>
      <c r="G164" s="32">
        <v>1000</v>
      </c>
      <c r="H164" s="33" t="s">
        <v>14</v>
      </c>
      <c r="I164" s="34">
        <f>IFERROR(G164/F164,0)</f>
        <v>1</v>
      </c>
      <c r="J164" s="14">
        <f t="shared" ref="J164" si="98">F164*12</f>
        <v>12000</v>
      </c>
      <c r="K164" s="14">
        <f t="shared" si="94"/>
        <v>12</v>
      </c>
      <c r="L164" s="15">
        <f t="shared" si="95"/>
        <v>0</v>
      </c>
      <c r="M164" s="14">
        <f t="shared" ref="M164" si="99">12*(F164-G164)</f>
        <v>0</v>
      </c>
      <c r="N164" s="66">
        <v>3.6</v>
      </c>
      <c r="O164" s="14">
        <f>N164*1000*0.09</f>
        <v>324</v>
      </c>
      <c r="P164" s="14">
        <f t="shared" si="96"/>
        <v>0</v>
      </c>
      <c r="R164" s="59"/>
    </row>
    <row r="165" spans="2:18" s="8" customFormat="1" ht="12.75" hidden="1" customHeight="1" x14ac:dyDescent="0.25">
      <c r="B165" s="45">
        <v>46100</v>
      </c>
      <c r="C165" s="39" t="s">
        <v>492</v>
      </c>
      <c r="D165" s="31" t="s">
        <v>118</v>
      </c>
      <c r="E165" s="31" t="s">
        <v>493</v>
      </c>
      <c r="F165" s="32">
        <v>100</v>
      </c>
      <c r="G165" s="32">
        <v>100</v>
      </c>
      <c r="H165" s="33" t="s">
        <v>14</v>
      </c>
      <c r="I165" s="34">
        <f>IFERROR(G165/F165,0)</f>
        <v>1</v>
      </c>
      <c r="J165" s="14">
        <f>F165*20</f>
        <v>2000</v>
      </c>
      <c r="K165" s="14">
        <f>J165/1000</f>
        <v>2</v>
      </c>
      <c r="L165" s="15">
        <f>M165/1000</f>
        <v>0</v>
      </c>
      <c r="M165" s="14">
        <f>20*(F165-G165)</f>
        <v>0</v>
      </c>
      <c r="N165" s="66">
        <v>3.6</v>
      </c>
      <c r="O165" s="14">
        <f>N165*1000*0.09</f>
        <v>324</v>
      </c>
      <c r="P165" s="14">
        <f>O165*L165</f>
        <v>0</v>
      </c>
      <c r="Q165" s="8">
        <f>16848+16848+2808</f>
        <v>36504</v>
      </c>
      <c r="R165" s="59"/>
    </row>
    <row r="166" spans="2:18" s="8" customFormat="1" ht="12.75" hidden="1" customHeight="1" x14ac:dyDescent="0.25">
      <c r="B166" s="45">
        <v>46100</v>
      </c>
      <c r="C166" s="39" t="s">
        <v>492</v>
      </c>
      <c r="D166" s="31" t="s">
        <v>102</v>
      </c>
      <c r="E166" s="31" t="s">
        <v>493</v>
      </c>
      <c r="F166" s="32">
        <v>600</v>
      </c>
      <c r="G166" s="32">
        <v>600</v>
      </c>
      <c r="H166" s="33" t="s">
        <v>14</v>
      </c>
      <c r="I166" s="34">
        <f>IFERROR(G166/F166,0)</f>
        <v>1</v>
      </c>
      <c r="J166" s="14">
        <f>F166*10</f>
        <v>6000</v>
      </c>
      <c r="K166" s="14">
        <f t="shared" ref="K166" si="100">J166/1000</f>
        <v>6</v>
      </c>
      <c r="L166" s="15">
        <f t="shared" ref="L166" si="101">M166/1000</f>
        <v>0</v>
      </c>
      <c r="M166" s="14">
        <f>10*(F166-G166)</f>
        <v>0</v>
      </c>
      <c r="N166" s="66">
        <v>3.6</v>
      </c>
      <c r="O166" s="14">
        <f>N166*1000*0.09</f>
        <v>324</v>
      </c>
      <c r="P166" s="14">
        <f t="shared" ref="P166" si="102">O166*L166</f>
        <v>0</v>
      </c>
      <c r="R166" s="59"/>
    </row>
    <row r="167" spans="2:18" s="8" customFormat="1" ht="12.75" hidden="1" customHeight="1" x14ac:dyDescent="0.25">
      <c r="B167" s="45">
        <v>46100</v>
      </c>
      <c r="C167" s="39" t="s">
        <v>495</v>
      </c>
      <c r="D167" s="31" t="s">
        <v>59</v>
      </c>
      <c r="E167" s="31" t="s">
        <v>493</v>
      </c>
      <c r="F167" s="32">
        <v>1500</v>
      </c>
      <c r="G167" s="32">
        <v>1500</v>
      </c>
      <c r="H167" s="33" t="s">
        <v>414</v>
      </c>
      <c r="I167" s="34">
        <f t="shared" ref="I167:I168" si="103">IFERROR(G167/F167,0)</f>
        <v>1</v>
      </c>
      <c r="J167" s="14">
        <f>F167*12</f>
        <v>18000</v>
      </c>
      <c r="K167" s="14">
        <f t="shared" ref="K167:K169" si="104">J167/1000</f>
        <v>18</v>
      </c>
      <c r="L167" s="15">
        <f t="shared" ref="L167:L169" si="105">M167/1000</f>
        <v>0</v>
      </c>
      <c r="M167" s="14">
        <f t="shared" ref="M167" si="106">12*(F167-G167)</f>
        <v>0</v>
      </c>
      <c r="N167" s="66">
        <v>3.6</v>
      </c>
      <c r="O167" s="14">
        <f>N167*1000*0.065</f>
        <v>234</v>
      </c>
      <c r="P167" s="14">
        <f t="shared" ref="P167:P169" si="107">O167*L167</f>
        <v>0</v>
      </c>
      <c r="R167" s="59"/>
    </row>
    <row r="168" spans="2:18" s="8" customFormat="1" ht="12.75" hidden="1" customHeight="1" x14ac:dyDescent="0.25">
      <c r="B168" s="45">
        <v>46100</v>
      </c>
      <c r="C168" s="39" t="s">
        <v>495</v>
      </c>
      <c r="D168" s="31" t="s">
        <v>57</v>
      </c>
      <c r="E168" s="31" t="s">
        <v>493</v>
      </c>
      <c r="F168" s="32">
        <v>4000</v>
      </c>
      <c r="G168" s="32">
        <v>4000</v>
      </c>
      <c r="H168" s="33" t="s">
        <v>414</v>
      </c>
      <c r="I168" s="34">
        <f t="shared" si="103"/>
        <v>1</v>
      </c>
      <c r="J168" s="14">
        <f>F168*10</f>
        <v>40000</v>
      </c>
      <c r="K168" s="14">
        <f t="shared" si="104"/>
        <v>40</v>
      </c>
      <c r="L168" s="15">
        <f t="shared" si="105"/>
        <v>0</v>
      </c>
      <c r="M168" s="14">
        <f>10*(F168-G168)</f>
        <v>0</v>
      </c>
      <c r="N168" s="66">
        <v>3.6</v>
      </c>
      <c r="O168" s="14">
        <f>N168*1000*0.065</f>
        <v>234</v>
      </c>
      <c r="P168" s="14">
        <f t="shared" si="107"/>
        <v>0</v>
      </c>
      <c r="R168" s="59"/>
    </row>
    <row r="169" spans="2:18" s="8" customFormat="1" ht="12.75" hidden="1" customHeight="1" x14ac:dyDescent="0.25">
      <c r="B169" s="45">
        <v>46100</v>
      </c>
      <c r="C169" s="39" t="s">
        <v>495</v>
      </c>
      <c r="D169" s="31" t="s">
        <v>63</v>
      </c>
      <c r="E169" s="31" t="s">
        <v>493</v>
      </c>
      <c r="F169" s="32">
        <v>500</v>
      </c>
      <c r="G169" s="32">
        <v>500</v>
      </c>
      <c r="H169" s="33" t="s">
        <v>414</v>
      </c>
      <c r="I169" s="34">
        <f>IFERROR(G169/F169,0)</f>
        <v>1</v>
      </c>
      <c r="J169" s="14">
        <f>F169*20</f>
        <v>10000</v>
      </c>
      <c r="K169" s="14">
        <f t="shared" si="104"/>
        <v>10</v>
      </c>
      <c r="L169" s="15">
        <f t="shared" si="105"/>
        <v>0</v>
      </c>
      <c r="M169" s="14">
        <f>20*(F169-G169)</f>
        <v>0</v>
      </c>
      <c r="N169" s="66">
        <v>3.6</v>
      </c>
      <c r="O169" s="14">
        <f>N169*1000*0.065</f>
        <v>234</v>
      </c>
      <c r="P169" s="14">
        <f t="shared" si="107"/>
        <v>0</v>
      </c>
      <c r="R169" s="59"/>
    </row>
    <row r="170" spans="2:18" s="8" customFormat="1" ht="12.75" hidden="1" customHeight="1" x14ac:dyDescent="0.25">
      <c r="B170" s="45">
        <v>46105</v>
      </c>
      <c r="C170" s="39" t="s">
        <v>498</v>
      </c>
      <c r="D170" s="31" t="s">
        <v>102</v>
      </c>
      <c r="E170" s="31" t="s">
        <v>475</v>
      </c>
      <c r="F170" s="32">
        <v>700</v>
      </c>
      <c r="G170" s="32">
        <v>700</v>
      </c>
      <c r="H170" s="33" t="s">
        <v>414</v>
      </c>
      <c r="I170" s="34">
        <f t="shared" ref="I170:I175" si="108">IFERROR(G170/F170,0)</f>
        <v>1</v>
      </c>
      <c r="J170" s="107">
        <f>F170*10</f>
        <v>7000</v>
      </c>
      <c r="K170" s="14">
        <f t="shared" ref="K170:K175" si="109">J170/1000</f>
        <v>7</v>
      </c>
      <c r="L170" s="15">
        <f t="shared" ref="L170:L175" si="110">M170/1000</f>
        <v>0</v>
      </c>
      <c r="M170" s="14">
        <f>10*(F170-G170)</f>
        <v>0</v>
      </c>
      <c r="N170" s="66">
        <v>3.6</v>
      </c>
      <c r="O170" s="14">
        <f>N170*1000*0.09</f>
        <v>324</v>
      </c>
      <c r="P170" s="14">
        <f t="shared" ref="P170:P175" si="111">O170*L170</f>
        <v>0</v>
      </c>
      <c r="R170" s="59"/>
    </row>
    <row r="171" spans="2:18" s="8" customFormat="1" ht="12.75" hidden="1" customHeight="1" x14ac:dyDescent="0.25">
      <c r="B171" s="45">
        <v>46105</v>
      </c>
      <c r="C171" s="39" t="s">
        <v>498</v>
      </c>
      <c r="D171" s="31" t="s">
        <v>108</v>
      </c>
      <c r="E171" s="31" t="s">
        <v>475</v>
      </c>
      <c r="F171" s="32">
        <v>1300</v>
      </c>
      <c r="G171" s="32">
        <v>1300</v>
      </c>
      <c r="H171" s="33" t="s">
        <v>414</v>
      </c>
      <c r="I171" s="34">
        <f t="shared" si="108"/>
        <v>1</v>
      </c>
      <c r="J171" s="107">
        <f t="shared" ref="J171:J173" si="112">F171*12</f>
        <v>15600</v>
      </c>
      <c r="K171" s="14">
        <f t="shared" si="109"/>
        <v>15.6</v>
      </c>
      <c r="L171" s="15">
        <f t="shared" si="110"/>
        <v>0</v>
      </c>
      <c r="M171" s="14">
        <f t="shared" ref="M171:M173" si="113">12*(F171-G171)</f>
        <v>0</v>
      </c>
      <c r="N171" s="66">
        <v>3.6</v>
      </c>
      <c r="O171" s="14">
        <f>N171*1000*0.09</f>
        <v>324</v>
      </c>
      <c r="P171" s="14">
        <f t="shared" si="111"/>
        <v>0</v>
      </c>
      <c r="R171" s="59"/>
    </row>
    <row r="172" spans="2:18" s="8" customFormat="1" ht="12.75" hidden="1" customHeight="1" x14ac:dyDescent="0.25">
      <c r="B172" s="45">
        <v>46105</v>
      </c>
      <c r="C172" s="39" t="s">
        <v>498</v>
      </c>
      <c r="D172" s="31" t="s">
        <v>116</v>
      </c>
      <c r="E172" s="31" t="s">
        <v>475</v>
      </c>
      <c r="F172" s="32">
        <v>500</v>
      </c>
      <c r="G172" s="32">
        <v>500</v>
      </c>
      <c r="H172" s="33" t="s">
        <v>414</v>
      </c>
      <c r="I172" s="34">
        <f t="shared" si="108"/>
        <v>1</v>
      </c>
      <c r="J172" s="107">
        <f>F172*15</f>
        <v>7500</v>
      </c>
      <c r="K172" s="14">
        <f t="shared" si="109"/>
        <v>7.5</v>
      </c>
      <c r="L172" s="15">
        <f t="shared" si="110"/>
        <v>0</v>
      </c>
      <c r="M172" s="14">
        <f>15*(F172-G172)</f>
        <v>0</v>
      </c>
      <c r="N172" s="66">
        <v>3.6</v>
      </c>
      <c r="O172" s="14">
        <f>N172*1000*0.09</f>
        <v>324</v>
      </c>
      <c r="P172" s="14">
        <f t="shared" si="111"/>
        <v>0</v>
      </c>
      <c r="R172" s="59"/>
    </row>
    <row r="173" spans="2:18" s="8" customFormat="1" ht="12.75" hidden="1" customHeight="1" x14ac:dyDescent="0.25">
      <c r="B173" s="45">
        <v>46105</v>
      </c>
      <c r="C173" s="39" t="s">
        <v>498</v>
      </c>
      <c r="D173" s="31" t="s">
        <v>59</v>
      </c>
      <c r="E173" s="31" t="s">
        <v>475</v>
      </c>
      <c r="F173" s="32">
        <v>1000</v>
      </c>
      <c r="G173" s="32">
        <v>1000</v>
      </c>
      <c r="H173" s="33" t="s">
        <v>414</v>
      </c>
      <c r="I173" s="34">
        <f t="shared" si="108"/>
        <v>1</v>
      </c>
      <c r="J173" s="107">
        <f t="shared" si="112"/>
        <v>12000</v>
      </c>
      <c r="K173" s="14">
        <f t="shared" si="109"/>
        <v>12</v>
      </c>
      <c r="L173" s="15">
        <f t="shared" si="110"/>
        <v>0</v>
      </c>
      <c r="M173" s="14">
        <f t="shared" si="113"/>
        <v>0</v>
      </c>
      <c r="N173" s="66">
        <v>3.6</v>
      </c>
      <c r="O173" s="14">
        <f>N173*1000*0.065</f>
        <v>234</v>
      </c>
      <c r="P173" s="14">
        <f t="shared" si="111"/>
        <v>0</v>
      </c>
      <c r="R173" s="59"/>
    </row>
    <row r="174" spans="2:18" s="8" customFormat="1" ht="12.75" hidden="1" customHeight="1" x14ac:dyDescent="0.25">
      <c r="B174" s="45">
        <v>46105</v>
      </c>
      <c r="C174" s="39" t="s">
        <v>498</v>
      </c>
      <c r="D174" s="31" t="s">
        <v>61</v>
      </c>
      <c r="E174" s="31" t="s">
        <v>475</v>
      </c>
      <c r="F174" s="32">
        <v>500</v>
      </c>
      <c r="G174" s="32">
        <v>500</v>
      </c>
      <c r="H174" s="33" t="s">
        <v>414</v>
      </c>
      <c r="I174" s="34">
        <f t="shared" si="108"/>
        <v>1</v>
      </c>
      <c r="J174" s="107">
        <f>F174*15</f>
        <v>7500</v>
      </c>
      <c r="K174" s="14">
        <f t="shared" si="109"/>
        <v>7.5</v>
      </c>
      <c r="L174" s="15">
        <f t="shared" si="110"/>
        <v>0</v>
      </c>
      <c r="M174" s="14">
        <f>15*(F174-G174)</f>
        <v>0</v>
      </c>
      <c r="N174" s="66">
        <v>3.6</v>
      </c>
      <c r="O174" s="14">
        <f>N174*1000*0.065</f>
        <v>234</v>
      </c>
      <c r="P174" s="14">
        <f t="shared" si="111"/>
        <v>0</v>
      </c>
      <c r="R174" s="59"/>
    </row>
    <row r="175" spans="2:18" s="8" customFormat="1" ht="12.75" hidden="1" customHeight="1" x14ac:dyDescent="0.25">
      <c r="B175" s="45">
        <v>46105</v>
      </c>
      <c r="C175" s="39" t="s">
        <v>498</v>
      </c>
      <c r="D175" s="31" t="s">
        <v>63</v>
      </c>
      <c r="E175" s="31" t="s">
        <v>475</v>
      </c>
      <c r="F175" s="32">
        <v>400</v>
      </c>
      <c r="G175" s="32">
        <v>400</v>
      </c>
      <c r="H175" s="33" t="s">
        <v>414</v>
      </c>
      <c r="I175" s="34">
        <f t="shared" si="108"/>
        <v>1</v>
      </c>
      <c r="J175" s="107">
        <f>F175*20</f>
        <v>8000</v>
      </c>
      <c r="K175" s="14">
        <f t="shared" si="109"/>
        <v>8</v>
      </c>
      <c r="L175" s="15">
        <f t="shared" si="110"/>
        <v>0</v>
      </c>
      <c r="M175" s="14">
        <f>20*(F175-G175)</f>
        <v>0</v>
      </c>
      <c r="N175" s="66">
        <v>3.6</v>
      </c>
      <c r="O175" s="14">
        <f>N175*1000*0.065</f>
        <v>234</v>
      </c>
      <c r="P175" s="14">
        <f t="shared" si="111"/>
        <v>0</v>
      </c>
      <c r="R175" s="59"/>
    </row>
    <row r="176" spans="2:18" s="8" customFormat="1" ht="12.75" hidden="1" customHeight="1" x14ac:dyDescent="0.25">
      <c r="B176" s="45">
        <v>46105</v>
      </c>
      <c r="C176" s="39" t="s">
        <v>499</v>
      </c>
      <c r="D176" s="35" t="s">
        <v>57</v>
      </c>
      <c r="E176" s="35" t="s">
        <v>500</v>
      </c>
      <c r="F176" s="36">
        <v>2500</v>
      </c>
      <c r="G176" s="36">
        <v>2500</v>
      </c>
      <c r="H176" s="37" t="s">
        <v>511</v>
      </c>
      <c r="I176" s="38">
        <f t="shared" ref="I176:I179" si="114">IFERROR(G176/F176,0)</f>
        <v>1</v>
      </c>
      <c r="J176" s="107">
        <f>F176*10</f>
        <v>25000</v>
      </c>
      <c r="K176" s="14">
        <f t="shared" ref="K176:K179" si="115">J176/1000</f>
        <v>25</v>
      </c>
      <c r="L176" s="15">
        <f t="shared" ref="L176:L179" si="116">M176/1000</f>
        <v>0</v>
      </c>
      <c r="M176" s="14">
        <f>10*(F176-G176)</f>
        <v>0</v>
      </c>
      <c r="N176" s="66">
        <v>3.6</v>
      </c>
      <c r="O176" s="14">
        <f t="shared" ref="O176:O179" si="117">N176*1000*0.065</f>
        <v>234</v>
      </c>
      <c r="P176" s="14">
        <f t="shared" ref="P176:P179" si="118">O176*L176</f>
        <v>0</v>
      </c>
      <c r="R176" s="59"/>
    </row>
    <row r="177" spans="2:18" s="8" customFormat="1" ht="12.75" hidden="1" customHeight="1" x14ac:dyDescent="0.25">
      <c r="B177" s="45">
        <v>46105</v>
      </c>
      <c r="C177" s="39" t="s">
        <v>499</v>
      </c>
      <c r="D177" s="35" t="s">
        <v>59</v>
      </c>
      <c r="E177" s="35" t="s">
        <v>500</v>
      </c>
      <c r="F177" s="36">
        <v>2000</v>
      </c>
      <c r="G177" s="36">
        <v>2000</v>
      </c>
      <c r="H177" s="37" t="s">
        <v>511</v>
      </c>
      <c r="I177" s="38">
        <f t="shared" si="114"/>
        <v>1</v>
      </c>
      <c r="J177" s="107">
        <f>F177*12</f>
        <v>24000</v>
      </c>
      <c r="K177" s="14">
        <f t="shared" si="115"/>
        <v>24</v>
      </c>
      <c r="L177" s="15">
        <f t="shared" si="116"/>
        <v>0</v>
      </c>
      <c r="M177" s="14">
        <f>12*(F177-G177)</f>
        <v>0</v>
      </c>
      <c r="N177" s="66">
        <v>3.6</v>
      </c>
      <c r="O177" s="14">
        <f t="shared" si="117"/>
        <v>234</v>
      </c>
      <c r="P177" s="14">
        <f t="shared" si="118"/>
        <v>0</v>
      </c>
      <c r="R177" s="59"/>
    </row>
    <row r="178" spans="2:18" s="8" customFormat="1" ht="12.75" hidden="1" customHeight="1" x14ac:dyDescent="0.25">
      <c r="B178" s="45">
        <v>46105</v>
      </c>
      <c r="C178" s="39" t="s">
        <v>499</v>
      </c>
      <c r="D178" s="35" t="s">
        <v>61</v>
      </c>
      <c r="E178" s="35" t="s">
        <v>500</v>
      </c>
      <c r="F178" s="36">
        <v>1200</v>
      </c>
      <c r="G178" s="36">
        <v>1200</v>
      </c>
      <c r="H178" s="37" t="s">
        <v>511</v>
      </c>
      <c r="I178" s="38">
        <f t="shared" si="114"/>
        <v>1</v>
      </c>
      <c r="J178" s="107">
        <f>F178*15</f>
        <v>18000</v>
      </c>
      <c r="K178" s="14">
        <f t="shared" si="115"/>
        <v>18</v>
      </c>
      <c r="L178" s="15">
        <f t="shared" si="116"/>
        <v>0</v>
      </c>
      <c r="M178" s="14">
        <f>15*(F178-G178)</f>
        <v>0</v>
      </c>
      <c r="N178" s="66">
        <v>3.6</v>
      </c>
      <c r="O178" s="14">
        <f t="shared" si="117"/>
        <v>234</v>
      </c>
      <c r="P178" s="14">
        <f t="shared" si="118"/>
        <v>0</v>
      </c>
      <c r="R178" s="59"/>
    </row>
    <row r="179" spans="2:18" s="8" customFormat="1" ht="12.75" hidden="1" customHeight="1" x14ac:dyDescent="0.25">
      <c r="B179" s="45">
        <v>46105</v>
      </c>
      <c r="C179" s="39" t="s">
        <v>499</v>
      </c>
      <c r="D179" s="35" t="s">
        <v>63</v>
      </c>
      <c r="E179" s="35" t="s">
        <v>500</v>
      </c>
      <c r="F179" s="36">
        <v>300</v>
      </c>
      <c r="G179" s="36">
        <v>300</v>
      </c>
      <c r="H179" s="37" t="s">
        <v>511</v>
      </c>
      <c r="I179" s="38">
        <f t="shared" si="114"/>
        <v>1</v>
      </c>
      <c r="J179" s="107">
        <f t="shared" ref="J179" si="119">F179*20</f>
        <v>6000</v>
      </c>
      <c r="K179" s="14">
        <f t="shared" si="115"/>
        <v>6</v>
      </c>
      <c r="L179" s="15">
        <f t="shared" si="116"/>
        <v>0</v>
      </c>
      <c r="M179" s="14">
        <f t="shared" ref="M179" si="120">20*(F179-G179)</f>
        <v>0</v>
      </c>
      <c r="N179" s="66">
        <v>3.6</v>
      </c>
      <c r="O179" s="14">
        <f t="shared" si="117"/>
        <v>234</v>
      </c>
      <c r="P179" s="14">
        <f t="shared" si="118"/>
        <v>0</v>
      </c>
      <c r="R179" s="59"/>
    </row>
    <row r="180" spans="2:18" s="8" customFormat="1" ht="12.75" customHeight="1" x14ac:dyDescent="0.25">
      <c r="B180" s="45">
        <v>46105</v>
      </c>
      <c r="C180" s="39" t="s">
        <v>496</v>
      </c>
      <c r="D180" s="35" t="s">
        <v>57</v>
      </c>
      <c r="E180" s="35" t="s">
        <v>497</v>
      </c>
      <c r="F180" s="36">
        <v>1200</v>
      </c>
      <c r="G180" s="36">
        <v>1200</v>
      </c>
      <c r="H180" s="37" t="s">
        <v>14</v>
      </c>
      <c r="I180" s="38">
        <f t="shared" ref="I180:I185" si="121">IFERROR(G180/F180,0)</f>
        <v>1</v>
      </c>
      <c r="J180" s="107">
        <f>F180*10</f>
        <v>12000</v>
      </c>
      <c r="K180" s="14">
        <f t="shared" ref="K180:K185" si="122">J180/1000</f>
        <v>12</v>
      </c>
      <c r="L180" s="15">
        <f t="shared" ref="L180:L185" si="123">M180/1000</f>
        <v>0</v>
      </c>
      <c r="M180" s="14">
        <f>10*(F180-G180)</f>
        <v>0</v>
      </c>
      <c r="N180" s="66">
        <v>3.6</v>
      </c>
      <c r="O180" s="14">
        <f t="shared" ref="O180:O182" si="124">N180*1000*0.065</f>
        <v>234</v>
      </c>
      <c r="P180" s="14">
        <f t="shared" ref="P180:P185" si="125">O180*L180</f>
        <v>0</v>
      </c>
      <c r="R180" s="59"/>
    </row>
    <row r="181" spans="2:18" s="8" customFormat="1" ht="12.75" customHeight="1" x14ac:dyDescent="0.25">
      <c r="B181" s="45">
        <v>46105</v>
      </c>
      <c r="C181" s="39" t="s">
        <v>496</v>
      </c>
      <c r="D181" s="35" t="s">
        <v>59</v>
      </c>
      <c r="E181" s="35" t="s">
        <v>497</v>
      </c>
      <c r="F181" s="36">
        <v>3000</v>
      </c>
      <c r="G181" s="36">
        <v>3000</v>
      </c>
      <c r="H181" s="37" t="s">
        <v>14</v>
      </c>
      <c r="I181" s="38">
        <f t="shared" si="121"/>
        <v>1</v>
      </c>
      <c r="J181" s="107">
        <f>F181*12</f>
        <v>36000</v>
      </c>
      <c r="K181" s="14">
        <f t="shared" si="122"/>
        <v>36</v>
      </c>
      <c r="L181" s="15">
        <f t="shared" si="123"/>
        <v>0</v>
      </c>
      <c r="M181" s="14">
        <f>12*(F181-G181)</f>
        <v>0</v>
      </c>
      <c r="N181" s="66">
        <v>3.6</v>
      </c>
      <c r="O181" s="14">
        <f t="shared" si="124"/>
        <v>234</v>
      </c>
      <c r="P181" s="14">
        <f t="shared" si="125"/>
        <v>0</v>
      </c>
      <c r="R181" s="59"/>
    </row>
    <row r="182" spans="2:18" s="8" customFormat="1" ht="12.75" customHeight="1" x14ac:dyDescent="0.25">
      <c r="B182" s="45">
        <v>46105</v>
      </c>
      <c r="C182" s="39" t="s">
        <v>496</v>
      </c>
      <c r="D182" s="35" t="s">
        <v>61</v>
      </c>
      <c r="E182" s="35" t="s">
        <v>497</v>
      </c>
      <c r="F182" s="36">
        <v>700</v>
      </c>
      <c r="G182" s="36">
        <v>700</v>
      </c>
      <c r="H182" s="37" t="s">
        <v>14</v>
      </c>
      <c r="I182" s="38">
        <f t="shared" si="121"/>
        <v>1</v>
      </c>
      <c r="J182" s="107">
        <f>F182*15</f>
        <v>10500</v>
      </c>
      <c r="K182" s="14">
        <f t="shared" si="122"/>
        <v>10.5</v>
      </c>
      <c r="L182" s="15">
        <f t="shared" si="123"/>
        <v>0</v>
      </c>
      <c r="M182" s="14">
        <f>15*(F182-G182)</f>
        <v>0</v>
      </c>
      <c r="N182" s="66">
        <v>3.6</v>
      </c>
      <c r="O182" s="14">
        <f t="shared" si="124"/>
        <v>234</v>
      </c>
      <c r="P182" s="14">
        <f t="shared" si="125"/>
        <v>0</v>
      </c>
      <c r="R182" s="59"/>
    </row>
    <row r="183" spans="2:18" s="8" customFormat="1" ht="12.75" customHeight="1" x14ac:dyDescent="0.25">
      <c r="B183" s="45">
        <v>46105</v>
      </c>
      <c r="C183" s="39" t="s">
        <v>496</v>
      </c>
      <c r="D183" s="103" t="s">
        <v>63</v>
      </c>
      <c r="E183" s="103" t="s">
        <v>497</v>
      </c>
      <c r="F183" s="104">
        <v>300</v>
      </c>
      <c r="G183" s="104"/>
      <c r="H183" s="105" t="s">
        <v>483</v>
      </c>
      <c r="I183" s="106">
        <f t="shared" si="121"/>
        <v>0</v>
      </c>
      <c r="J183" s="107">
        <f>F183*20</f>
        <v>6000</v>
      </c>
      <c r="K183" s="14">
        <f t="shared" si="122"/>
        <v>6</v>
      </c>
      <c r="L183" s="15">
        <f t="shared" si="123"/>
        <v>6</v>
      </c>
      <c r="M183" s="14">
        <f>20*(F183-G183)</f>
        <v>6000</v>
      </c>
      <c r="N183" s="66">
        <v>3.6</v>
      </c>
      <c r="O183" s="14">
        <f t="shared" ref="O183:O185" si="126">N183*1000*0.09</f>
        <v>324</v>
      </c>
      <c r="P183" s="14">
        <f t="shared" si="125"/>
        <v>1944</v>
      </c>
      <c r="R183" s="59"/>
    </row>
    <row r="184" spans="2:18" s="8" customFormat="1" ht="12.75" customHeight="1" x14ac:dyDescent="0.25">
      <c r="B184" s="45">
        <v>46105</v>
      </c>
      <c r="C184" s="39" t="s">
        <v>496</v>
      </c>
      <c r="D184" s="103" t="s">
        <v>102</v>
      </c>
      <c r="E184" s="103" t="s">
        <v>497</v>
      </c>
      <c r="F184" s="104">
        <v>100</v>
      </c>
      <c r="G184" s="104"/>
      <c r="H184" s="105" t="s">
        <v>483</v>
      </c>
      <c r="I184" s="106">
        <f t="shared" si="121"/>
        <v>0</v>
      </c>
      <c r="J184" s="107">
        <f>F184*10</f>
        <v>1000</v>
      </c>
      <c r="K184" s="14">
        <f t="shared" si="122"/>
        <v>1</v>
      </c>
      <c r="L184" s="15">
        <f t="shared" si="123"/>
        <v>1</v>
      </c>
      <c r="M184" s="14">
        <f>10*(F184-G184)</f>
        <v>1000</v>
      </c>
      <c r="N184" s="66">
        <v>3.6</v>
      </c>
      <c r="O184" s="14">
        <f t="shared" si="126"/>
        <v>324</v>
      </c>
      <c r="P184" s="14">
        <f t="shared" si="125"/>
        <v>324</v>
      </c>
      <c r="R184" s="59"/>
    </row>
    <row r="185" spans="2:18" s="8" customFormat="1" ht="12.75" customHeight="1" x14ac:dyDescent="0.25">
      <c r="B185" s="45">
        <v>46105</v>
      </c>
      <c r="C185" s="39" t="s">
        <v>496</v>
      </c>
      <c r="D185" s="40" t="s">
        <v>108</v>
      </c>
      <c r="E185" s="40" t="s">
        <v>497</v>
      </c>
      <c r="F185" s="41">
        <v>200</v>
      </c>
      <c r="G185" s="41"/>
      <c r="H185" s="42" t="s">
        <v>3</v>
      </c>
      <c r="I185" s="43">
        <f t="shared" si="121"/>
        <v>0</v>
      </c>
      <c r="J185" s="107">
        <f>F185*12</f>
        <v>2400</v>
      </c>
      <c r="K185" s="14">
        <f t="shared" si="122"/>
        <v>2.4</v>
      </c>
      <c r="L185" s="15">
        <f t="shared" si="123"/>
        <v>2.4</v>
      </c>
      <c r="M185" s="14">
        <f>12*(F185-G185)</f>
        <v>2400</v>
      </c>
      <c r="N185" s="66">
        <v>3.6</v>
      </c>
      <c r="O185" s="14">
        <f t="shared" si="126"/>
        <v>324</v>
      </c>
      <c r="P185" s="14">
        <f t="shared" si="125"/>
        <v>777.6</v>
      </c>
      <c r="R185" s="59"/>
    </row>
    <row r="186" spans="2:18" s="8" customFormat="1" ht="12.75" customHeight="1" x14ac:dyDescent="0.25">
      <c r="B186" s="45">
        <v>46114</v>
      </c>
      <c r="C186" s="39" t="s">
        <v>507</v>
      </c>
      <c r="D186" s="40" t="s">
        <v>25</v>
      </c>
      <c r="E186" s="40" t="s">
        <v>412</v>
      </c>
      <c r="F186" s="41">
        <v>500</v>
      </c>
      <c r="G186" s="41"/>
      <c r="H186" s="42" t="s">
        <v>3</v>
      </c>
      <c r="I186" s="43">
        <f t="shared" ref="I186:I187" si="127">IFERROR(G186/F186,0)</f>
        <v>0</v>
      </c>
      <c r="J186" s="107">
        <f>F186*80</f>
        <v>40000</v>
      </c>
      <c r="K186" s="14">
        <f t="shared" ref="K186:K191" si="128">J186/1000</f>
        <v>40</v>
      </c>
      <c r="L186" s="15">
        <f t="shared" ref="L186:L191" si="129">M186/1000</f>
        <v>40</v>
      </c>
      <c r="M186" s="14">
        <f>80*(F186-G186)</f>
        <v>40000</v>
      </c>
      <c r="N186" s="66">
        <v>3.2</v>
      </c>
      <c r="O186" s="14">
        <f t="shared" ref="O186:O191" si="130">N186*1000*0.09</f>
        <v>288</v>
      </c>
      <c r="P186" s="14">
        <f t="shared" ref="P186:P191" si="131">O186*L186</f>
        <v>11520</v>
      </c>
      <c r="R186" s="59"/>
    </row>
    <row r="187" spans="2:18" s="8" customFormat="1" ht="12.75" customHeight="1" x14ac:dyDescent="0.25">
      <c r="B187" s="45">
        <v>46114</v>
      </c>
      <c r="C187" s="39" t="s">
        <v>507</v>
      </c>
      <c r="D187" s="40" t="s">
        <v>171</v>
      </c>
      <c r="E187" s="40" t="s">
        <v>412</v>
      </c>
      <c r="F187" s="41">
        <v>200</v>
      </c>
      <c r="G187" s="41"/>
      <c r="H187" s="42" t="s">
        <v>3</v>
      </c>
      <c r="I187" s="43">
        <f t="shared" si="127"/>
        <v>0</v>
      </c>
      <c r="J187" s="107">
        <f>F187*60</f>
        <v>12000</v>
      </c>
      <c r="K187" s="14">
        <f t="shared" si="128"/>
        <v>12</v>
      </c>
      <c r="L187" s="15">
        <f t="shared" si="129"/>
        <v>12</v>
      </c>
      <c r="M187" s="14">
        <f>60*(F187-G187)</f>
        <v>12000</v>
      </c>
      <c r="N187" s="66">
        <v>3.2</v>
      </c>
      <c r="O187" s="14">
        <f t="shared" si="130"/>
        <v>288</v>
      </c>
      <c r="P187" s="14">
        <f t="shared" si="131"/>
        <v>3456</v>
      </c>
      <c r="R187" s="59"/>
    </row>
    <row r="188" spans="2:18" s="8" customFormat="1" ht="12.75" customHeight="1" x14ac:dyDescent="0.25">
      <c r="B188" s="45">
        <v>46114</v>
      </c>
      <c r="C188" s="39" t="s">
        <v>508</v>
      </c>
      <c r="D188" s="40" t="s">
        <v>299</v>
      </c>
      <c r="E188" s="40" t="s">
        <v>412</v>
      </c>
      <c r="F188" s="41">
        <v>80</v>
      </c>
      <c r="G188" s="41"/>
      <c r="H188" s="42" t="s">
        <v>3</v>
      </c>
      <c r="I188" s="43">
        <f t="shared" ref="I188:I191" si="132">IFERROR(G188/F188,0)</f>
        <v>0</v>
      </c>
      <c r="J188" s="107">
        <f>F188*95</f>
        <v>7600</v>
      </c>
      <c r="K188" s="14">
        <f t="shared" si="128"/>
        <v>7.6</v>
      </c>
      <c r="L188" s="15">
        <f t="shared" si="129"/>
        <v>7.6</v>
      </c>
      <c r="M188" s="14">
        <f>95*(F188-G188)</f>
        <v>7600</v>
      </c>
      <c r="N188" s="66">
        <v>3.3</v>
      </c>
      <c r="O188" s="14">
        <f t="shared" si="130"/>
        <v>297</v>
      </c>
      <c r="P188" s="14">
        <f t="shared" si="131"/>
        <v>2257.1999999999998</v>
      </c>
      <c r="R188" s="59"/>
    </row>
    <row r="189" spans="2:18" s="8" customFormat="1" ht="12.75" customHeight="1" x14ac:dyDescent="0.25">
      <c r="B189" s="45">
        <v>46114</v>
      </c>
      <c r="C189" s="39" t="s">
        <v>508</v>
      </c>
      <c r="D189" s="40" t="s">
        <v>169</v>
      </c>
      <c r="E189" s="40" t="s">
        <v>412</v>
      </c>
      <c r="F189" s="41">
        <v>320</v>
      </c>
      <c r="G189" s="41"/>
      <c r="H189" s="42" t="s">
        <v>3</v>
      </c>
      <c r="I189" s="43">
        <f t="shared" si="132"/>
        <v>0</v>
      </c>
      <c r="J189" s="107">
        <f>F189*60</f>
        <v>19200</v>
      </c>
      <c r="K189" s="14">
        <f t="shared" si="128"/>
        <v>19.2</v>
      </c>
      <c r="L189" s="15">
        <f t="shared" si="129"/>
        <v>19.2</v>
      </c>
      <c r="M189" s="14">
        <f>60*(F189-G189)</f>
        <v>19200</v>
      </c>
      <c r="N189" s="66">
        <v>3</v>
      </c>
      <c r="O189" s="14">
        <f t="shared" si="130"/>
        <v>270</v>
      </c>
      <c r="P189" s="14">
        <f t="shared" si="131"/>
        <v>5184</v>
      </c>
      <c r="R189" s="59"/>
    </row>
    <row r="190" spans="2:18" s="8" customFormat="1" ht="12.75" customHeight="1" x14ac:dyDescent="0.25">
      <c r="B190" s="45">
        <v>46114</v>
      </c>
      <c r="C190" s="39" t="s">
        <v>508</v>
      </c>
      <c r="D190" s="40" t="s">
        <v>277</v>
      </c>
      <c r="E190" s="40" t="s">
        <v>412</v>
      </c>
      <c r="F190" s="41">
        <v>200</v>
      </c>
      <c r="G190" s="41"/>
      <c r="H190" s="42" t="s">
        <v>3</v>
      </c>
      <c r="I190" s="43">
        <f t="shared" si="132"/>
        <v>0</v>
      </c>
      <c r="J190" s="107">
        <f>F190*90</f>
        <v>18000</v>
      </c>
      <c r="K190" s="14">
        <f t="shared" si="128"/>
        <v>18</v>
      </c>
      <c r="L190" s="15">
        <f t="shared" si="129"/>
        <v>18</v>
      </c>
      <c r="M190" s="14">
        <f>90*(F190-G190)</f>
        <v>18000</v>
      </c>
      <c r="N190" s="66">
        <v>3</v>
      </c>
      <c r="O190" s="14">
        <f t="shared" si="130"/>
        <v>270</v>
      </c>
      <c r="P190" s="14">
        <f t="shared" si="131"/>
        <v>4860</v>
      </c>
      <c r="R190" s="59"/>
    </row>
    <row r="191" spans="2:18" s="8" customFormat="1" ht="12.75" customHeight="1" x14ac:dyDescent="0.25">
      <c r="B191" s="45">
        <v>46114</v>
      </c>
      <c r="C191" s="39" t="s">
        <v>508</v>
      </c>
      <c r="D191" s="40" t="s">
        <v>235</v>
      </c>
      <c r="E191" s="40" t="s">
        <v>412</v>
      </c>
      <c r="F191" s="41">
        <v>200</v>
      </c>
      <c r="G191" s="41"/>
      <c r="H191" s="42" t="s">
        <v>3</v>
      </c>
      <c r="I191" s="43">
        <f t="shared" si="132"/>
        <v>0</v>
      </c>
      <c r="J191" s="107">
        <f>F191*75</f>
        <v>15000</v>
      </c>
      <c r="K191" s="14">
        <f t="shared" si="128"/>
        <v>15</v>
      </c>
      <c r="L191" s="15">
        <f t="shared" si="129"/>
        <v>15</v>
      </c>
      <c r="M191" s="14">
        <f>75*(F191-G191)</f>
        <v>15000</v>
      </c>
      <c r="N191" s="66">
        <v>3</v>
      </c>
      <c r="O191" s="14">
        <f t="shared" si="130"/>
        <v>270</v>
      </c>
      <c r="P191" s="14">
        <f t="shared" si="131"/>
        <v>4050</v>
      </c>
      <c r="R191" s="59"/>
    </row>
    <row r="192" spans="2:18" s="8" customFormat="1" ht="12.75" customHeight="1" x14ac:dyDescent="0.25">
      <c r="B192" s="45">
        <v>46105</v>
      </c>
      <c r="C192" s="39" t="s">
        <v>506</v>
      </c>
      <c r="D192" s="40" t="s">
        <v>59</v>
      </c>
      <c r="E192" s="40" t="s">
        <v>475</v>
      </c>
      <c r="F192" s="41">
        <v>3000</v>
      </c>
      <c r="G192" s="41"/>
      <c r="H192" s="42" t="s">
        <v>3</v>
      </c>
      <c r="I192" s="43">
        <f t="shared" ref="I192:I194" si="133">IFERROR(G192/F192,0)</f>
        <v>0</v>
      </c>
      <c r="J192" s="107">
        <f>F192*12</f>
        <v>36000</v>
      </c>
      <c r="K192" s="14">
        <f t="shared" ref="K192:K194" si="134">J192/1000</f>
        <v>36</v>
      </c>
      <c r="L192" s="15">
        <f t="shared" ref="L192:L194" si="135">M192/1000</f>
        <v>36</v>
      </c>
      <c r="M192" s="14">
        <f>12*(F192-G192)</f>
        <v>36000</v>
      </c>
      <c r="N192" s="66">
        <v>3.6</v>
      </c>
      <c r="O192" s="14">
        <f t="shared" ref="O192:O194" si="136">N192*1000*0.065</f>
        <v>234</v>
      </c>
      <c r="P192" s="14">
        <f t="shared" ref="P192:P194" si="137">O192*L192</f>
        <v>8424</v>
      </c>
      <c r="R192" s="59"/>
    </row>
    <row r="193" spans="2:18" s="8" customFormat="1" ht="12.75" customHeight="1" x14ac:dyDescent="0.25">
      <c r="B193" s="45">
        <v>46105</v>
      </c>
      <c r="C193" s="39" t="s">
        <v>506</v>
      </c>
      <c r="D193" s="40" t="s">
        <v>61</v>
      </c>
      <c r="E193" s="40" t="s">
        <v>475</v>
      </c>
      <c r="F193" s="41">
        <v>2000</v>
      </c>
      <c r="G193" s="41"/>
      <c r="H193" s="42" t="s">
        <v>3</v>
      </c>
      <c r="I193" s="43">
        <f t="shared" si="133"/>
        <v>0</v>
      </c>
      <c r="J193" s="107">
        <f>F193*15</f>
        <v>30000</v>
      </c>
      <c r="K193" s="14">
        <f t="shared" si="134"/>
        <v>30</v>
      </c>
      <c r="L193" s="15">
        <f t="shared" si="135"/>
        <v>30</v>
      </c>
      <c r="M193" s="14">
        <f>15*(F193-G193)</f>
        <v>30000</v>
      </c>
      <c r="N193" s="66">
        <v>3.6</v>
      </c>
      <c r="O193" s="14">
        <f t="shared" si="136"/>
        <v>234</v>
      </c>
      <c r="P193" s="14">
        <f t="shared" si="137"/>
        <v>7020</v>
      </c>
      <c r="R193" s="59"/>
    </row>
    <row r="194" spans="2:18" s="8" customFormat="1" ht="12.75" customHeight="1" x14ac:dyDescent="0.25">
      <c r="B194" s="45">
        <v>46105</v>
      </c>
      <c r="C194" s="39" t="s">
        <v>506</v>
      </c>
      <c r="D194" s="40" t="s">
        <v>63</v>
      </c>
      <c r="E194" s="40" t="s">
        <v>475</v>
      </c>
      <c r="F194" s="41">
        <v>500</v>
      </c>
      <c r="G194" s="41"/>
      <c r="H194" s="42" t="s">
        <v>3</v>
      </c>
      <c r="I194" s="43">
        <f t="shared" si="133"/>
        <v>0</v>
      </c>
      <c r="J194" s="107">
        <f t="shared" ref="J194" si="138">F194*20</f>
        <v>10000</v>
      </c>
      <c r="K194" s="14">
        <f t="shared" si="134"/>
        <v>10</v>
      </c>
      <c r="L194" s="15">
        <f t="shared" si="135"/>
        <v>10</v>
      </c>
      <c r="M194" s="14">
        <f t="shared" ref="M194" si="139">20*(F194-G194)</f>
        <v>10000</v>
      </c>
      <c r="N194" s="66">
        <v>3.6</v>
      </c>
      <c r="O194" s="14">
        <f t="shared" si="136"/>
        <v>234</v>
      </c>
      <c r="P194" s="14">
        <f t="shared" si="137"/>
        <v>2340</v>
      </c>
      <c r="R194" s="59"/>
    </row>
    <row r="195" spans="2:18" s="8" customFormat="1" ht="12.75" customHeight="1" x14ac:dyDescent="0.25">
      <c r="B195" s="45">
        <v>46100</v>
      </c>
      <c r="C195" s="39" t="s">
        <v>501</v>
      </c>
      <c r="D195" s="40" t="s">
        <v>59</v>
      </c>
      <c r="E195" s="40" t="s">
        <v>493</v>
      </c>
      <c r="F195" s="41">
        <v>3000</v>
      </c>
      <c r="G195" s="41"/>
      <c r="H195" s="42" t="s">
        <v>3</v>
      </c>
      <c r="I195" s="43">
        <f>IFERROR(G195/F195,0)</f>
        <v>0</v>
      </c>
      <c r="J195" s="14">
        <f>F195*12</f>
        <v>36000</v>
      </c>
      <c r="K195" s="14">
        <f>J195/1000</f>
        <v>36</v>
      </c>
      <c r="L195" s="15">
        <f>M195/1000</f>
        <v>36</v>
      </c>
      <c r="M195" s="14">
        <f>12*(F195-G195)</f>
        <v>36000</v>
      </c>
      <c r="N195" s="66">
        <v>3.6</v>
      </c>
      <c r="O195" s="14">
        <f t="shared" ref="O195:O198" si="140">N195*1000*0.065</f>
        <v>234</v>
      </c>
      <c r="P195" s="14">
        <f t="shared" ref="P195:P198" si="141">O195*L195</f>
        <v>8424</v>
      </c>
      <c r="R195" s="59"/>
    </row>
    <row r="196" spans="2:18" s="8" customFormat="1" ht="12.75" customHeight="1" x14ac:dyDescent="0.25">
      <c r="B196" s="45">
        <v>46100</v>
      </c>
      <c r="C196" s="39" t="s">
        <v>501</v>
      </c>
      <c r="D196" s="40" t="s">
        <v>57</v>
      </c>
      <c r="E196" s="40" t="s">
        <v>493</v>
      </c>
      <c r="F196" s="41">
        <v>2000</v>
      </c>
      <c r="G196" s="41"/>
      <c r="H196" s="42" t="s">
        <v>3</v>
      </c>
      <c r="I196" s="43">
        <f>IFERROR(G196/F196,0)</f>
        <v>0</v>
      </c>
      <c r="J196" s="14">
        <f>F196*10</f>
        <v>20000</v>
      </c>
      <c r="K196" s="14">
        <f>J196/1000</f>
        <v>20</v>
      </c>
      <c r="L196" s="15">
        <f>M196/1000</f>
        <v>20</v>
      </c>
      <c r="M196" s="14">
        <f>10*(F196-G196)</f>
        <v>20000</v>
      </c>
      <c r="N196" s="66">
        <v>3.6</v>
      </c>
      <c r="O196" s="14">
        <f t="shared" si="140"/>
        <v>234</v>
      </c>
      <c r="P196" s="14">
        <f t="shared" si="141"/>
        <v>4680</v>
      </c>
      <c r="R196" s="59"/>
    </row>
    <row r="197" spans="2:18" s="8" customFormat="1" ht="12.75" customHeight="1" x14ac:dyDescent="0.25">
      <c r="B197" s="45">
        <v>46100</v>
      </c>
      <c r="C197" s="39" t="s">
        <v>501</v>
      </c>
      <c r="D197" s="40" t="s">
        <v>61</v>
      </c>
      <c r="E197" s="40" t="s">
        <v>493</v>
      </c>
      <c r="F197" s="41">
        <v>500</v>
      </c>
      <c r="G197" s="41"/>
      <c r="H197" s="42" t="s">
        <v>3</v>
      </c>
      <c r="I197" s="43">
        <f>IFERROR(G197/F197,0)</f>
        <v>0</v>
      </c>
      <c r="J197" s="14">
        <f>F197*15</f>
        <v>7500</v>
      </c>
      <c r="K197" s="14">
        <f>J197/1000</f>
        <v>7.5</v>
      </c>
      <c r="L197" s="15">
        <f>M197/1000</f>
        <v>7.5</v>
      </c>
      <c r="M197" s="14">
        <f>15*(F197-G197)</f>
        <v>7500</v>
      </c>
      <c r="N197" s="66">
        <v>3.6</v>
      </c>
      <c r="O197" s="14">
        <f t="shared" si="140"/>
        <v>234</v>
      </c>
      <c r="P197" s="14">
        <f t="shared" si="141"/>
        <v>1755</v>
      </c>
      <c r="R197" s="59"/>
    </row>
    <row r="198" spans="2:18" s="8" customFormat="1" ht="12.75" customHeight="1" x14ac:dyDescent="0.25">
      <c r="B198" s="45">
        <v>46100</v>
      </c>
      <c r="C198" s="39" t="s">
        <v>501</v>
      </c>
      <c r="D198" s="40" t="s">
        <v>63</v>
      </c>
      <c r="E198" s="40" t="s">
        <v>493</v>
      </c>
      <c r="F198" s="41">
        <v>500</v>
      </c>
      <c r="G198" s="41"/>
      <c r="H198" s="42" t="s">
        <v>3</v>
      </c>
      <c r="I198" s="43">
        <f>IFERROR(G198/F198,0)</f>
        <v>0</v>
      </c>
      <c r="J198" s="14">
        <f>F198*20</f>
        <v>10000</v>
      </c>
      <c r="K198" s="14">
        <f>J198/1000</f>
        <v>10</v>
      </c>
      <c r="L198" s="15">
        <f>M198/1000</f>
        <v>10</v>
      </c>
      <c r="M198" s="14">
        <f>20*(F198-G198)</f>
        <v>10000</v>
      </c>
      <c r="N198" s="66">
        <v>3.6</v>
      </c>
      <c r="O198" s="14">
        <f t="shared" si="140"/>
        <v>234</v>
      </c>
      <c r="P198" s="14">
        <f t="shared" si="141"/>
        <v>2340</v>
      </c>
      <c r="R198" s="59"/>
    </row>
    <row r="199" spans="2:18" s="8" customFormat="1" ht="12.75" customHeight="1" x14ac:dyDescent="0.25">
      <c r="B199" s="45">
        <v>46105</v>
      </c>
      <c r="C199" s="39" t="s">
        <v>502</v>
      </c>
      <c r="D199" s="40" t="s">
        <v>57</v>
      </c>
      <c r="E199" s="40" t="s">
        <v>493</v>
      </c>
      <c r="F199" s="41">
        <v>1000</v>
      </c>
      <c r="G199" s="41"/>
      <c r="H199" s="42" t="s">
        <v>3</v>
      </c>
      <c r="I199" s="43">
        <f t="shared" ref="I199:I200" si="142">IFERROR(G199/F199,0)</f>
        <v>0</v>
      </c>
      <c r="J199" s="14">
        <f>F199*10</f>
        <v>10000</v>
      </c>
      <c r="K199" s="14">
        <f t="shared" ref="K199:K200" si="143">J199/1000</f>
        <v>10</v>
      </c>
      <c r="L199" s="15">
        <f t="shared" ref="L199:L200" si="144">M199/1000</f>
        <v>10</v>
      </c>
      <c r="M199" s="14">
        <f>10*(F199-G199)</f>
        <v>10000</v>
      </c>
      <c r="N199" s="66">
        <v>3.6</v>
      </c>
      <c r="O199" s="14">
        <f t="shared" ref="O199:O200" si="145">N199*1000*0.065</f>
        <v>234</v>
      </c>
      <c r="P199" s="14">
        <f t="shared" ref="P199:P200" si="146">O199*L199</f>
        <v>2340</v>
      </c>
      <c r="R199" s="59"/>
    </row>
    <row r="200" spans="2:18" s="8" customFormat="1" ht="12.75" customHeight="1" x14ac:dyDescent="0.25">
      <c r="B200" s="45">
        <v>46105</v>
      </c>
      <c r="C200" s="39" t="s">
        <v>502</v>
      </c>
      <c r="D200" s="40" t="s">
        <v>59</v>
      </c>
      <c r="E200" s="40" t="s">
        <v>493</v>
      </c>
      <c r="F200" s="41">
        <v>3800</v>
      </c>
      <c r="G200" s="41"/>
      <c r="H200" s="42" t="s">
        <v>3</v>
      </c>
      <c r="I200" s="43">
        <f t="shared" si="142"/>
        <v>0</v>
      </c>
      <c r="J200" s="14">
        <f>F200*12</f>
        <v>45600</v>
      </c>
      <c r="K200" s="14">
        <f t="shared" si="143"/>
        <v>45.6</v>
      </c>
      <c r="L200" s="15">
        <f t="shared" si="144"/>
        <v>45.6</v>
      </c>
      <c r="M200" s="14">
        <f t="shared" ref="M200" si="147">12*(F200-G200)</f>
        <v>45600</v>
      </c>
      <c r="N200" s="66">
        <v>3.6</v>
      </c>
      <c r="O200" s="14">
        <f t="shared" si="145"/>
        <v>234</v>
      </c>
      <c r="P200" s="14">
        <f t="shared" si="146"/>
        <v>10670.4</v>
      </c>
      <c r="R200" s="59"/>
    </row>
    <row r="201" spans="2:18" s="8" customFormat="1" ht="12.75" customHeight="1" x14ac:dyDescent="0.25">
      <c r="B201" s="45">
        <v>46105</v>
      </c>
      <c r="C201" s="39" t="s">
        <v>502</v>
      </c>
      <c r="D201" s="40" t="s">
        <v>108</v>
      </c>
      <c r="E201" s="40" t="s">
        <v>493</v>
      </c>
      <c r="F201" s="41">
        <v>600</v>
      </c>
      <c r="G201" s="41"/>
      <c r="H201" s="42" t="s">
        <v>3</v>
      </c>
      <c r="I201" s="43">
        <f>IFERROR(G201/F201,0)</f>
        <v>0</v>
      </c>
      <c r="J201" s="14">
        <f>F201*12</f>
        <v>7200</v>
      </c>
      <c r="K201" s="14">
        <f>J201/1000</f>
        <v>7.2</v>
      </c>
      <c r="L201" s="15">
        <f>M201/1000</f>
        <v>7.2</v>
      </c>
      <c r="M201" s="14">
        <f>12*(F201-G201)</f>
        <v>7200</v>
      </c>
      <c r="N201" s="66">
        <v>3.6</v>
      </c>
      <c r="O201" s="14">
        <f>N201*1000*0.09</f>
        <v>324</v>
      </c>
      <c r="P201" s="14">
        <f>O201*L201</f>
        <v>2332.8000000000002</v>
      </c>
      <c r="R201" s="59"/>
    </row>
    <row r="202" spans="2:18" s="8" customFormat="1" ht="12.75" customHeight="1" x14ac:dyDescent="0.25">
      <c r="B202" s="45">
        <v>46105</v>
      </c>
      <c r="C202" s="39" t="s">
        <v>502</v>
      </c>
      <c r="D202" s="40" t="s">
        <v>116</v>
      </c>
      <c r="E202" s="40" t="s">
        <v>493</v>
      </c>
      <c r="F202" s="41">
        <v>600</v>
      </c>
      <c r="G202" s="41"/>
      <c r="H202" s="42" t="s">
        <v>3</v>
      </c>
      <c r="I202" s="43">
        <f>IFERROR(G202/F202,0)</f>
        <v>0</v>
      </c>
      <c r="J202" s="14">
        <f>F202*15</f>
        <v>9000</v>
      </c>
      <c r="K202" s="14">
        <f>J202/1000</f>
        <v>9</v>
      </c>
      <c r="L202" s="15">
        <f>M202/1000</f>
        <v>9</v>
      </c>
      <c r="M202" s="14">
        <f>15*(F202-G202)</f>
        <v>9000</v>
      </c>
      <c r="N202" s="66">
        <v>3.6</v>
      </c>
      <c r="O202" s="14">
        <f>N202*1000*0.09</f>
        <v>324</v>
      </c>
      <c r="P202" s="14">
        <f>O202*L202</f>
        <v>2916</v>
      </c>
      <c r="R202" s="59"/>
    </row>
    <row r="203" spans="2:18" s="8" customFormat="1" ht="12.75" customHeight="1" x14ac:dyDescent="0.25">
      <c r="B203" s="45">
        <v>46114</v>
      </c>
      <c r="C203" s="39" t="s">
        <v>509</v>
      </c>
      <c r="D203" s="40" t="s">
        <v>187</v>
      </c>
      <c r="E203" s="40" t="s">
        <v>412</v>
      </c>
      <c r="F203" s="41">
        <v>200</v>
      </c>
      <c r="G203" s="41"/>
      <c r="H203" s="42" t="s">
        <v>3</v>
      </c>
      <c r="I203" s="43">
        <f t="shared" ref="I203:I205" si="148">IFERROR(G203/F203,0)</f>
        <v>0</v>
      </c>
      <c r="J203" s="108">
        <f>F203*65</f>
        <v>13000</v>
      </c>
      <c r="K203" s="108">
        <f t="shared" ref="K203:K210" si="149">J203/1000</f>
        <v>13</v>
      </c>
      <c r="L203" s="109">
        <f t="shared" ref="L203:L210" si="150">M203/1000</f>
        <v>13</v>
      </c>
      <c r="M203" s="108">
        <f>65*(F203-G203)</f>
        <v>13000</v>
      </c>
      <c r="N203" s="66">
        <v>3</v>
      </c>
      <c r="O203" s="108">
        <f t="shared" ref="O203:O210" si="151">N203*1000*0.09</f>
        <v>270</v>
      </c>
      <c r="P203" s="108">
        <f t="shared" ref="P203:P210" si="152">O203*L203</f>
        <v>3510</v>
      </c>
      <c r="R203" s="59"/>
    </row>
    <row r="204" spans="2:18" s="8" customFormat="1" ht="12.75" customHeight="1" x14ac:dyDescent="0.25">
      <c r="B204" s="45">
        <v>46114</v>
      </c>
      <c r="C204" s="39" t="s">
        <v>509</v>
      </c>
      <c r="D204" s="40" t="s">
        <v>151</v>
      </c>
      <c r="E204" s="40" t="s">
        <v>412</v>
      </c>
      <c r="F204" s="41">
        <v>150</v>
      </c>
      <c r="G204" s="41"/>
      <c r="H204" s="42" t="s">
        <v>3</v>
      </c>
      <c r="I204" s="43">
        <f t="shared" si="148"/>
        <v>0</v>
      </c>
      <c r="J204" s="108">
        <f>F204*55</f>
        <v>8250</v>
      </c>
      <c r="K204" s="108">
        <f t="shared" si="149"/>
        <v>8.25</v>
      </c>
      <c r="L204" s="109">
        <f t="shared" si="150"/>
        <v>8.25</v>
      </c>
      <c r="M204" s="108">
        <f>55*(F204-G204)</f>
        <v>8250</v>
      </c>
      <c r="N204" s="66">
        <v>3</v>
      </c>
      <c r="O204" s="108">
        <f t="shared" si="151"/>
        <v>270</v>
      </c>
      <c r="P204" s="108">
        <f t="shared" si="152"/>
        <v>2227.5</v>
      </c>
      <c r="R204" s="59"/>
    </row>
    <row r="205" spans="2:18" s="8" customFormat="1" ht="12.75" customHeight="1" x14ac:dyDescent="0.25">
      <c r="B205" s="45">
        <v>46114</v>
      </c>
      <c r="C205" s="39" t="s">
        <v>509</v>
      </c>
      <c r="D205" s="40" t="s">
        <v>241</v>
      </c>
      <c r="E205" s="40" t="s">
        <v>412</v>
      </c>
      <c r="F205" s="41">
        <v>100</v>
      </c>
      <c r="G205" s="41"/>
      <c r="H205" s="42" t="s">
        <v>3</v>
      </c>
      <c r="I205" s="43">
        <f t="shared" si="148"/>
        <v>0</v>
      </c>
      <c r="J205" s="108">
        <f>F205*80</f>
        <v>8000</v>
      </c>
      <c r="K205" s="108">
        <f t="shared" si="149"/>
        <v>8</v>
      </c>
      <c r="L205" s="109">
        <f t="shared" si="150"/>
        <v>8</v>
      </c>
      <c r="M205" s="108">
        <f>80*(F205-G205)</f>
        <v>8000</v>
      </c>
      <c r="N205" s="66">
        <v>3</v>
      </c>
      <c r="O205" s="108">
        <f t="shared" si="151"/>
        <v>270</v>
      </c>
      <c r="P205" s="108">
        <f t="shared" si="152"/>
        <v>2160</v>
      </c>
      <c r="R205" s="59"/>
    </row>
    <row r="206" spans="2:18" s="8" customFormat="1" ht="12.75" customHeight="1" x14ac:dyDescent="0.25">
      <c r="B206" s="45">
        <v>46114</v>
      </c>
      <c r="C206" s="39" t="s">
        <v>509</v>
      </c>
      <c r="D206" s="40" t="s">
        <v>205</v>
      </c>
      <c r="E206" s="40" t="s">
        <v>412</v>
      </c>
      <c r="F206" s="41">
        <v>100</v>
      </c>
      <c r="G206" s="41"/>
      <c r="H206" s="42" t="s">
        <v>3</v>
      </c>
      <c r="I206" s="43">
        <f t="shared" ref="I206:I207" si="153">IFERROR(G206/F206,0)</f>
        <v>0</v>
      </c>
      <c r="J206" s="108">
        <f>F206*70</f>
        <v>7000</v>
      </c>
      <c r="K206" s="108">
        <f t="shared" si="149"/>
        <v>7</v>
      </c>
      <c r="L206" s="109">
        <f t="shared" si="150"/>
        <v>7</v>
      </c>
      <c r="M206" s="108">
        <f>70*(F206-G206)</f>
        <v>7000</v>
      </c>
      <c r="N206" s="66">
        <v>3</v>
      </c>
      <c r="O206" s="108">
        <f t="shared" si="151"/>
        <v>270</v>
      </c>
      <c r="P206" s="108">
        <f t="shared" si="152"/>
        <v>1890</v>
      </c>
      <c r="R206" s="59"/>
    </row>
    <row r="207" spans="2:18" s="8" customFormat="1" ht="12.75" customHeight="1" x14ac:dyDescent="0.25">
      <c r="B207" s="45">
        <v>46114</v>
      </c>
      <c r="C207" s="39" t="s">
        <v>509</v>
      </c>
      <c r="D207" s="40" t="s">
        <v>23</v>
      </c>
      <c r="E207" s="40" t="s">
        <v>412</v>
      </c>
      <c r="F207" s="41">
        <v>150</v>
      </c>
      <c r="G207" s="41"/>
      <c r="H207" s="42" t="s">
        <v>3</v>
      </c>
      <c r="I207" s="43">
        <f t="shared" si="153"/>
        <v>0</v>
      </c>
      <c r="J207" s="108">
        <f>F207*80</f>
        <v>12000</v>
      </c>
      <c r="K207" s="108">
        <f t="shared" si="149"/>
        <v>12</v>
      </c>
      <c r="L207" s="109">
        <f t="shared" si="150"/>
        <v>12</v>
      </c>
      <c r="M207" s="108">
        <f>80*(F207-G207)</f>
        <v>12000</v>
      </c>
      <c r="N207" s="110">
        <v>2.8</v>
      </c>
      <c r="O207" s="108">
        <f t="shared" si="151"/>
        <v>252</v>
      </c>
      <c r="P207" s="108">
        <f t="shared" si="152"/>
        <v>3024</v>
      </c>
      <c r="R207" s="59"/>
    </row>
    <row r="208" spans="2:18" s="8" customFormat="1" ht="12.75" customHeight="1" x14ac:dyDescent="0.25">
      <c r="B208" s="45">
        <v>46114</v>
      </c>
      <c r="C208" s="39" t="s">
        <v>510</v>
      </c>
      <c r="D208" s="40" t="s">
        <v>203</v>
      </c>
      <c r="E208" s="40" t="s">
        <v>412</v>
      </c>
      <c r="F208" s="41">
        <v>300</v>
      </c>
      <c r="G208" s="41"/>
      <c r="H208" s="42" t="s">
        <v>3</v>
      </c>
      <c r="I208" s="43">
        <f t="shared" ref="I208:I210" si="154">IFERROR(G208/F208,0)</f>
        <v>0</v>
      </c>
      <c r="J208" s="108">
        <f>F208*70</f>
        <v>21000</v>
      </c>
      <c r="K208" s="108">
        <f t="shared" si="149"/>
        <v>21</v>
      </c>
      <c r="L208" s="109">
        <f t="shared" si="150"/>
        <v>21</v>
      </c>
      <c r="M208" s="108">
        <f>70*(F208-G208)</f>
        <v>21000</v>
      </c>
      <c r="N208" s="110">
        <v>2.8</v>
      </c>
      <c r="O208" s="108">
        <f t="shared" si="151"/>
        <v>252</v>
      </c>
      <c r="P208" s="108">
        <f t="shared" si="152"/>
        <v>5292</v>
      </c>
      <c r="R208" s="59"/>
    </row>
    <row r="209" spans="2:18" s="8" customFormat="1" ht="12.75" customHeight="1" x14ac:dyDescent="0.25">
      <c r="B209" s="45">
        <v>46114</v>
      </c>
      <c r="C209" s="39" t="s">
        <v>510</v>
      </c>
      <c r="D209" s="40" t="s">
        <v>221</v>
      </c>
      <c r="E209" s="40" t="s">
        <v>412</v>
      </c>
      <c r="F209" s="41">
        <v>200</v>
      </c>
      <c r="G209" s="41"/>
      <c r="H209" s="42" t="s">
        <v>3</v>
      </c>
      <c r="I209" s="43">
        <f t="shared" si="154"/>
        <v>0</v>
      </c>
      <c r="J209" s="108">
        <f>F209*75</f>
        <v>15000</v>
      </c>
      <c r="K209" s="108">
        <f t="shared" si="149"/>
        <v>15</v>
      </c>
      <c r="L209" s="109">
        <f t="shared" si="150"/>
        <v>15</v>
      </c>
      <c r="M209" s="108">
        <f>75*(F209-G209)</f>
        <v>15000</v>
      </c>
      <c r="N209" s="110">
        <v>2.8</v>
      </c>
      <c r="O209" s="108">
        <f t="shared" si="151"/>
        <v>252</v>
      </c>
      <c r="P209" s="108">
        <f t="shared" si="152"/>
        <v>3780</v>
      </c>
      <c r="R209" s="59"/>
    </row>
    <row r="210" spans="2:18" s="8" customFormat="1" ht="12.75" customHeight="1" x14ac:dyDescent="0.25">
      <c r="B210" s="45">
        <v>46114</v>
      </c>
      <c r="C210" s="39" t="s">
        <v>510</v>
      </c>
      <c r="D210" s="40" t="s">
        <v>167</v>
      </c>
      <c r="E210" s="40" t="s">
        <v>412</v>
      </c>
      <c r="F210" s="41">
        <v>200</v>
      </c>
      <c r="G210" s="41"/>
      <c r="H210" s="42" t="s">
        <v>3</v>
      </c>
      <c r="I210" s="43">
        <f t="shared" si="154"/>
        <v>0</v>
      </c>
      <c r="J210" s="108">
        <f>F210*60</f>
        <v>12000</v>
      </c>
      <c r="K210" s="108">
        <f t="shared" si="149"/>
        <v>12</v>
      </c>
      <c r="L210" s="109">
        <f t="shared" si="150"/>
        <v>12</v>
      </c>
      <c r="M210" s="108">
        <f>60*(F210-G210)</f>
        <v>12000</v>
      </c>
      <c r="N210" s="110">
        <v>2.8</v>
      </c>
      <c r="O210" s="108">
        <f t="shared" si="151"/>
        <v>252</v>
      </c>
      <c r="P210" s="108">
        <f t="shared" si="152"/>
        <v>3024</v>
      </c>
      <c r="R210" s="59"/>
    </row>
    <row r="211" spans="2:18" s="8" customFormat="1" ht="12.75" customHeight="1" x14ac:dyDescent="0.25">
      <c r="B211" s="45">
        <v>46105</v>
      </c>
      <c r="C211" s="39" t="s">
        <v>503</v>
      </c>
      <c r="D211" s="40" t="s">
        <v>55</v>
      </c>
      <c r="E211" s="40" t="s">
        <v>505</v>
      </c>
      <c r="F211" s="41">
        <v>200</v>
      </c>
      <c r="G211" s="41"/>
      <c r="H211" s="42" t="s">
        <v>3</v>
      </c>
      <c r="I211" s="43">
        <f t="shared" ref="I211:I214" si="155">IFERROR(G211/F211,0)</f>
        <v>0</v>
      </c>
      <c r="J211" s="14">
        <f>F211*8</f>
        <v>1600</v>
      </c>
      <c r="K211" s="14">
        <f t="shared" ref="K211:K214" si="156">J211/1000</f>
        <v>1.6</v>
      </c>
      <c r="L211" s="15">
        <f t="shared" ref="L211:L214" si="157">M211/1000</f>
        <v>1.6</v>
      </c>
      <c r="M211" s="14">
        <f>8*(F211-G211)</f>
        <v>1600</v>
      </c>
      <c r="N211" s="66">
        <v>3.6</v>
      </c>
      <c r="O211" s="14">
        <f>N211*1000*0.065</f>
        <v>234</v>
      </c>
      <c r="P211" s="14">
        <f t="shared" ref="P211:P214" si="158">O211*L211</f>
        <v>374.40000000000003</v>
      </c>
      <c r="R211" s="59"/>
    </row>
    <row r="212" spans="2:18" s="8" customFormat="1" ht="12.75" customHeight="1" x14ac:dyDescent="0.25">
      <c r="B212" s="45">
        <v>46105</v>
      </c>
      <c r="C212" s="39" t="s">
        <v>503</v>
      </c>
      <c r="D212" s="40" t="s">
        <v>57</v>
      </c>
      <c r="E212" s="40" t="s">
        <v>505</v>
      </c>
      <c r="F212" s="41">
        <v>2000</v>
      </c>
      <c r="G212" s="41"/>
      <c r="H212" s="42" t="s">
        <v>3</v>
      </c>
      <c r="I212" s="43">
        <f t="shared" si="155"/>
        <v>0</v>
      </c>
      <c r="J212" s="14">
        <f>F212*10</f>
        <v>20000</v>
      </c>
      <c r="K212" s="14">
        <f t="shared" si="156"/>
        <v>20</v>
      </c>
      <c r="L212" s="15">
        <f t="shared" si="157"/>
        <v>20</v>
      </c>
      <c r="M212" s="14">
        <f>10*(F212-G212)</f>
        <v>20000</v>
      </c>
      <c r="N212" s="66">
        <v>3.6</v>
      </c>
      <c r="O212" s="14">
        <f t="shared" ref="O212:O214" si="159">N212*1000*0.065</f>
        <v>234</v>
      </c>
      <c r="P212" s="14">
        <f t="shared" si="158"/>
        <v>4680</v>
      </c>
      <c r="R212" s="59"/>
    </row>
    <row r="213" spans="2:18" s="8" customFormat="1" ht="12.75" customHeight="1" x14ac:dyDescent="0.25">
      <c r="B213" s="45">
        <v>46105</v>
      </c>
      <c r="C213" s="39" t="s">
        <v>503</v>
      </c>
      <c r="D213" s="40" t="s">
        <v>59</v>
      </c>
      <c r="E213" s="40" t="s">
        <v>505</v>
      </c>
      <c r="F213" s="41">
        <v>3400</v>
      </c>
      <c r="G213" s="41"/>
      <c r="H213" s="42" t="s">
        <v>3</v>
      </c>
      <c r="I213" s="43">
        <f t="shared" si="155"/>
        <v>0</v>
      </c>
      <c r="J213" s="14">
        <f>F213*12</f>
        <v>40800</v>
      </c>
      <c r="K213" s="14">
        <f t="shared" si="156"/>
        <v>40.799999999999997</v>
      </c>
      <c r="L213" s="15">
        <f t="shared" si="157"/>
        <v>40.799999999999997</v>
      </c>
      <c r="M213" s="14">
        <f>12*(F213-G213)</f>
        <v>40800</v>
      </c>
      <c r="N213" s="66">
        <v>3.6</v>
      </c>
      <c r="O213" s="14">
        <f t="shared" si="159"/>
        <v>234</v>
      </c>
      <c r="P213" s="14">
        <f t="shared" si="158"/>
        <v>9547.1999999999989</v>
      </c>
      <c r="R213" s="59"/>
    </row>
    <row r="214" spans="2:18" s="8" customFormat="1" ht="12.75" customHeight="1" x14ac:dyDescent="0.25">
      <c r="B214" s="45">
        <v>46105</v>
      </c>
      <c r="C214" s="39" t="s">
        <v>503</v>
      </c>
      <c r="D214" s="40" t="s">
        <v>61</v>
      </c>
      <c r="E214" s="40" t="s">
        <v>505</v>
      </c>
      <c r="F214" s="41">
        <v>400</v>
      </c>
      <c r="G214" s="41"/>
      <c r="H214" s="42" t="s">
        <v>3</v>
      </c>
      <c r="I214" s="43">
        <f t="shared" si="155"/>
        <v>0</v>
      </c>
      <c r="J214" s="14">
        <f t="shared" ref="J214" si="160">F214*15</f>
        <v>6000</v>
      </c>
      <c r="K214" s="14">
        <f t="shared" si="156"/>
        <v>6</v>
      </c>
      <c r="L214" s="15">
        <f t="shared" si="157"/>
        <v>6</v>
      </c>
      <c r="M214" s="14">
        <f t="shared" ref="M214" si="161">15*(F214-G214)</f>
        <v>6000</v>
      </c>
      <c r="N214" s="66">
        <v>3.6</v>
      </c>
      <c r="O214" s="14">
        <f t="shared" si="159"/>
        <v>234</v>
      </c>
      <c r="P214" s="14">
        <f t="shared" si="158"/>
        <v>1404</v>
      </c>
      <c r="R214" s="59"/>
    </row>
    <row r="215" spans="2:18" x14ac:dyDescent="0.25">
      <c r="C215" s="25"/>
      <c r="D215" s="111" t="s">
        <v>1</v>
      </c>
      <c r="E215" s="111"/>
      <c r="F215" s="17">
        <f>SUBTOTAL(9,F5:F214)</f>
        <v>231450</v>
      </c>
      <c r="G215" s="17">
        <f>SUBTOTAL(9,G5:G166)</f>
        <v>147480</v>
      </c>
      <c r="H215" s="17">
        <f>G215-F215</f>
        <v>-83970</v>
      </c>
      <c r="I215" s="26">
        <f>G215/F215</f>
        <v>0.63720025923525603</v>
      </c>
      <c r="J215" s="17">
        <f>SUBTOTAL(9,J5:J156)</f>
        <v>4321850</v>
      </c>
      <c r="K215" s="17">
        <f>SUBTOTAL(9,K5:K156)</f>
        <v>4321.8499999999995</v>
      </c>
      <c r="L215" s="17">
        <f>SUBTOTAL(9,L5:L156)</f>
        <v>535.04999999999995</v>
      </c>
      <c r="M215" s="17">
        <f>SUBTOTAL(9,M5:M156)</f>
        <v>535050</v>
      </c>
      <c r="N215" s="67"/>
      <c r="O215" s="17"/>
      <c r="P215" s="17">
        <f>SUBTOTAL(9,P5:P156)</f>
        <v>912305.7</v>
      </c>
    </row>
    <row r="216" spans="2:18" x14ac:dyDescent="0.25">
      <c r="F216" s="3"/>
      <c r="G216" s="3"/>
      <c r="H216" s="3"/>
      <c r="I216" s="3"/>
      <c r="J216" s="1"/>
      <c r="K216" s="1"/>
    </row>
    <row r="217" spans="2:18" s="47" customFormat="1" ht="12.75" x14ac:dyDescent="0.25">
      <c r="D217" s="48"/>
      <c r="E217" s="49"/>
      <c r="F217" s="97" t="s">
        <v>6</v>
      </c>
      <c r="G217" s="97" t="s">
        <v>431</v>
      </c>
      <c r="H217" s="97" t="s">
        <v>432</v>
      </c>
      <c r="I217" s="54" t="s">
        <v>433</v>
      </c>
      <c r="J217" s="50"/>
      <c r="K217" s="50"/>
      <c r="L217" s="50"/>
      <c r="M217" s="50"/>
      <c r="N217" s="68"/>
      <c r="O217" s="50"/>
      <c r="P217" s="50"/>
      <c r="Q217" s="51"/>
      <c r="R217" s="48"/>
    </row>
    <row r="218" spans="2:18" s="47" customFormat="1" ht="12.75" x14ac:dyDescent="0.25">
      <c r="C218" s="51"/>
      <c r="D218" s="51"/>
      <c r="E218" s="49"/>
      <c r="F218" s="98" t="s">
        <v>414</v>
      </c>
      <c r="G218" s="92">
        <v>109840</v>
      </c>
      <c r="H218" s="92">
        <v>109840</v>
      </c>
      <c r="I218" s="55">
        <f>H218-G218</f>
        <v>0</v>
      </c>
      <c r="J218" s="48"/>
      <c r="K218" s="48"/>
      <c r="L218" s="48"/>
      <c r="M218" s="48"/>
      <c r="N218" s="69"/>
      <c r="O218" s="48"/>
      <c r="P218" s="48"/>
      <c r="R218" s="48"/>
    </row>
    <row r="219" spans="2:18" s="47" customFormat="1" ht="12.75" x14ac:dyDescent="0.25">
      <c r="C219" s="61"/>
      <c r="D219" s="61"/>
      <c r="E219" s="49"/>
      <c r="F219" s="99" t="s">
        <v>14</v>
      </c>
      <c r="G219" s="93">
        <v>13640</v>
      </c>
      <c r="H219" s="93">
        <v>13640</v>
      </c>
      <c r="I219" s="56">
        <f>H219-G219</f>
        <v>0</v>
      </c>
      <c r="J219" s="48"/>
      <c r="K219" s="48"/>
      <c r="L219" s="48"/>
      <c r="M219" s="48"/>
      <c r="N219" s="69"/>
      <c r="O219" s="48"/>
      <c r="P219" s="48"/>
      <c r="R219" s="48"/>
    </row>
    <row r="220" spans="2:18" s="47" customFormat="1" ht="12.75" x14ac:dyDescent="0.25">
      <c r="C220" s="51"/>
      <c r="D220" s="50"/>
      <c r="E220" s="49"/>
      <c r="F220" s="100" t="s">
        <v>3</v>
      </c>
      <c r="G220" s="94">
        <v>54170</v>
      </c>
      <c r="H220" s="94">
        <v>6700</v>
      </c>
      <c r="I220" s="57">
        <f>H220-G220</f>
        <v>-47470</v>
      </c>
      <c r="J220" s="48"/>
      <c r="K220" s="48"/>
      <c r="L220" s="48"/>
      <c r="M220" s="48"/>
      <c r="N220" s="69"/>
      <c r="O220" s="48"/>
      <c r="P220" s="48"/>
      <c r="R220" s="48"/>
    </row>
    <row r="221" spans="2:18" s="47" customFormat="1" ht="12.75" x14ac:dyDescent="0.25">
      <c r="C221" s="51"/>
      <c r="D221" s="50"/>
      <c r="E221" s="49"/>
      <c r="F221" s="101" t="s">
        <v>483</v>
      </c>
      <c r="G221" s="102">
        <v>1000</v>
      </c>
      <c r="H221" s="95">
        <v>200</v>
      </c>
      <c r="I221" s="58">
        <f>H221-G221</f>
        <v>-800</v>
      </c>
      <c r="J221" s="48"/>
      <c r="K221" s="48"/>
      <c r="L221" s="48"/>
      <c r="M221" s="48"/>
      <c r="N221" s="69"/>
      <c r="O221" s="48"/>
      <c r="P221" s="48"/>
      <c r="R221" s="48"/>
    </row>
    <row r="222" spans="2:18" s="47" customFormat="1" ht="12.75" x14ac:dyDescent="0.25">
      <c r="D222" s="48"/>
      <c r="E222" s="49"/>
      <c r="F222" s="97" t="s">
        <v>425</v>
      </c>
      <c r="G222" s="96">
        <v>178650</v>
      </c>
      <c r="H222" s="96">
        <v>130380</v>
      </c>
      <c r="I222" s="58">
        <f>H222-G222</f>
        <v>-48270</v>
      </c>
      <c r="J222" s="48"/>
      <c r="K222" s="48"/>
      <c r="L222" s="48"/>
      <c r="M222" s="48"/>
      <c r="N222" s="69"/>
      <c r="O222" s="48"/>
      <c r="P222" s="48"/>
      <c r="R222" s="48"/>
    </row>
    <row r="223" spans="2:18" ht="15" x14ac:dyDescent="0.25">
      <c r="F223"/>
      <c r="G223"/>
      <c r="H223"/>
      <c r="I223" s="2"/>
    </row>
    <row r="224" spans="2:18" ht="15" x14ac:dyDescent="0.25">
      <c r="F224"/>
      <c r="G224"/>
      <c r="H224"/>
    </row>
    <row r="225" spans="6:8" ht="15" x14ac:dyDescent="0.25">
      <c r="F225"/>
      <c r="G225"/>
      <c r="H225"/>
    </row>
    <row r="226" spans="6:8" ht="15" x14ac:dyDescent="0.25">
      <c r="F226"/>
      <c r="G226"/>
      <c r="H226"/>
    </row>
    <row r="227" spans="6:8" ht="15" x14ac:dyDescent="0.25">
      <c r="F227"/>
      <c r="G227"/>
      <c r="H227"/>
    </row>
    <row r="228" spans="6:8" ht="15" x14ac:dyDescent="0.25">
      <c r="F228"/>
      <c r="G228"/>
      <c r="H228"/>
    </row>
    <row r="229" spans="6:8" ht="15" x14ac:dyDescent="0.25">
      <c r="F229"/>
      <c r="G229"/>
      <c r="H229"/>
    </row>
    <row r="230" spans="6:8" ht="15" x14ac:dyDescent="0.25">
      <c r="F230"/>
      <c r="G230"/>
      <c r="H230"/>
    </row>
    <row r="231" spans="6:8" ht="15" x14ac:dyDescent="0.25">
      <c r="F231"/>
      <c r="G231"/>
      <c r="H231"/>
    </row>
    <row r="232" spans="6:8" ht="15" x14ac:dyDescent="0.25">
      <c r="F232"/>
      <c r="G232"/>
      <c r="H232"/>
    </row>
    <row r="233" spans="6:8" ht="15" x14ac:dyDescent="0.25">
      <c r="F233"/>
      <c r="G233"/>
      <c r="H233"/>
    </row>
  </sheetData>
  <autoFilter ref="B3:I156"/>
  <mergeCells count="2">
    <mergeCell ref="D215:E215"/>
    <mergeCell ref="D1:H2"/>
  </mergeCells>
  <conditionalFormatting pivot="1" sqref="G218:H220">
    <cfRule type="cellIs" dxfId="113" priority="9" operator="lessThan">
      <formula>0</formula>
    </cfRule>
    <cfRule type="cellIs" dxfId="112" priority="10" operator="greaterThanOrEqual">
      <formula>0</formula>
    </cfRule>
  </conditionalFormatting>
  <conditionalFormatting sqref="I221:I222">
    <cfRule type="cellIs" dxfId="111" priority="7" operator="lessThan">
      <formula>0</formula>
    </cfRule>
    <cfRule type="cellIs" dxfId="110" priority="8" operator="greaterThanOrEqual">
      <formula>0</formula>
    </cfRule>
  </conditionalFormatting>
  <conditionalFormatting sqref="I218:I220">
    <cfRule type="cellIs" dxfId="109" priority="5" operator="lessThan">
      <formula>0</formula>
    </cfRule>
    <cfRule type="cellIs" dxfId="108" priority="6" operator="greaterThanOrEqual">
      <formula>0</formula>
    </cfRule>
  </conditionalFormatting>
  <conditionalFormatting pivot="1" sqref="G221">
    <cfRule type="cellIs" dxfId="107" priority="1" operator="lessThan">
      <formula>0</formula>
    </cfRule>
    <cfRule type="cellIs" dxfId="106" priority="2" operator="greaterThanOrEqual">
      <formula>0</formula>
    </cfRule>
  </conditionalFormatting>
  <conditionalFormatting sqref="I4:I214">
    <cfRule type="iconSet" priority="60">
      <iconSet iconSet="3Symbols">
        <cfvo type="percent" val="0"/>
        <cfvo type="percent" val="33"/>
        <cfvo type="percent" val="67"/>
      </iconSet>
    </cfRule>
  </conditionalFormatting>
  <pageMargins left="0.39370078740157483" right="0.23622047244094491" top="3.937007874015748E-2" bottom="0.74803149606299213" header="0.31496062992125984" footer="0.31496062992125984"/>
  <pageSetup paperSize="9" scale="81" orientation="portrait" r:id="rId2"/>
  <headerFooter>
    <oddFooter>&amp;R&amp;D &amp;T</oddFooter>
  </headerFooter>
  <ignoredErrors>
    <ignoredError sqref="J62" formula="1"/>
  </ignoredError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BASE!$C$2:$C$178</xm:f>
          </x14:formula1>
          <xm:sqref>D4:D214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79"/>
  <sheetViews>
    <sheetView showGridLines="0" zoomScale="160" zoomScaleNormal="160" workbookViewId="0">
      <selection activeCell="H4" sqref="H4"/>
    </sheetView>
  </sheetViews>
  <sheetFormatPr defaultRowHeight="12.75" x14ac:dyDescent="0.25"/>
  <cols>
    <col min="1" max="1" width="2.85546875" style="46" customWidth="1"/>
    <col min="2" max="2" width="15.42578125" style="46" bestFit="1" customWidth="1"/>
    <col min="3" max="3" width="15.85546875" style="72" bestFit="1" customWidth="1"/>
    <col min="4" max="4" width="9.140625" style="46" bestFit="1" customWidth="1"/>
    <col min="5" max="5" width="8.140625" style="74" customWidth="1"/>
    <col min="6" max="16384" width="9.140625" style="46"/>
  </cols>
  <sheetData>
    <row r="3" spans="2:5" x14ac:dyDescent="0.25">
      <c r="B3" s="84" t="s">
        <v>463</v>
      </c>
      <c r="C3" s="84" t="s">
        <v>464</v>
      </c>
      <c r="D3" s="84" t="s">
        <v>465</v>
      </c>
    </row>
    <row r="4" spans="2:5" x14ac:dyDescent="0.25">
      <c r="B4" s="79">
        <v>2.7</v>
      </c>
      <c r="C4" s="80">
        <v>48</v>
      </c>
      <c r="D4" s="81">
        <v>11664</v>
      </c>
      <c r="E4" s="74" t="s">
        <v>467</v>
      </c>
    </row>
    <row r="5" spans="2:5" hidden="1" x14ac:dyDescent="0.25">
      <c r="B5" s="79">
        <v>2.8</v>
      </c>
      <c r="C5" s="80">
        <v>101.4</v>
      </c>
      <c r="D5" s="81">
        <v>25160.799999999999</v>
      </c>
    </row>
    <row r="6" spans="2:5" hidden="1" x14ac:dyDescent="0.25">
      <c r="B6" s="79">
        <v>3</v>
      </c>
      <c r="C6" s="80">
        <v>18</v>
      </c>
      <c r="D6" s="81">
        <v>3903.75</v>
      </c>
    </row>
    <row r="7" spans="2:5" x14ac:dyDescent="0.25">
      <c r="B7" s="79">
        <v>3.2</v>
      </c>
      <c r="C7" s="80">
        <v>83</v>
      </c>
      <c r="D7" s="81">
        <v>23904</v>
      </c>
      <c r="E7" s="74" t="s">
        <v>469</v>
      </c>
    </row>
    <row r="8" spans="2:5" x14ac:dyDescent="0.25">
      <c r="B8" s="87" t="s">
        <v>425</v>
      </c>
      <c r="C8" s="85">
        <v>250.4</v>
      </c>
      <c r="D8" s="86">
        <v>64632.55</v>
      </c>
    </row>
    <row r="9" spans="2:5" x14ac:dyDescent="0.25">
      <c r="C9" s="46"/>
    </row>
    <row r="10" spans="2:5" x14ac:dyDescent="0.25">
      <c r="C10" s="46"/>
      <c r="D10" s="73"/>
    </row>
    <row r="11" spans="2:5" x14ac:dyDescent="0.25">
      <c r="C11" s="46"/>
      <c r="D11" s="73"/>
    </row>
    <row r="12" spans="2:5" x14ac:dyDescent="0.25">
      <c r="C12" s="46"/>
      <c r="D12" s="73"/>
    </row>
    <row r="13" spans="2:5" x14ac:dyDescent="0.25">
      <c r="C13" s="46"/>
      <c r="D13" s="73"/>
    </row>
    <row r="14" spans="2:5" x14ac:dyDescent="0.25">
      <c r="C14" s="46"/>
      <c r="D14" s="73"/>
    </row>
    <row r="15" spans="2:5" x14ac:dyDescent="0.25">
      <c r="C15" s="46"/>
      <c r="D15" s="73"/>
    </row>
    <row r="16" spans="2:5" x14ac:dyDescent="0.25">
      <c r="C16" s="46"/>
      <c r="D16" s="73"/>
    </row>
    <row r="17" spans="3:4" x14ac:dyDescent="0.25">
      <c r="C17" s="46"/>
      <c r="D17" s="73"/>
    </row>
    <row r="18" spans="3:4" x14ac:dyDescent="0.25">
      <c r="C18" s="46"/>
      <c r="D18" s="73"/>
    </row>
    <row r="19" spans="3:4" x14ac:dyDescent="0.25">
      <c r="C19" s="46"/>
      <c r="D19" s="73"/>
    </row>
    <row r="20" spans="3:4" x14ac:dyDescent="0.25">
      <c r="C20" s="46"/>
      <c r="D20" s="73"/>
    </row>
    <row r="21" spans="3:4" x14ac:dyDescent="0.25">
      <c r="C21" s="46"/>
      <c r="D21" s="73"/>
    </row>
    <row r="22" spans="3:4" x14ac:dyDescent="0.25">
      <c r="C22" s="46"/>
      <c r="D22" s="73"/>
    </row>
    <row r="23" spans="3:4" x14ac:dyDescent="0.25">
      <c r="C23" s="46"/>
      <c r="D23" s="73"/>
    </row>
    <row r="24" spans="3:4" x14ac:dyDescent="0.25">
      <c r="C24" s="46"/>
      <c r="D24" s="73"/>
    </row>
    <row r="25" spans="3:4" x14ac:dyDescent="0.25">
      <c r="C25" s="46"/>
    </row>
    <row r="26" spans="3:4" x14ac:dyDescent="0.25">
      <c r="C26" s="46"/>
    </row>
    <row r="27" spans="3:4" x14ac:dyDescent="0.25">
      <c r="C27" s="46"/>
    </row>
    <row r="28" spans="3:4" x14ac:dyDescent="0.25">
      <c r="C28" s="46"/>
    </row>
    <row r="29" spans="3:4" x14ac:dyDescent="0.25">
      <c r="C29" s="46"/>
    </row>
    <row r="30" spans="3:4" x14ac:dyDescent="0.25">
      <c r="C30" s="46"/>
    </row>
    <row r="31" spans="3:4" x14ac:dyDescent="0.25">
      <c r="C31" s="46"/>
    </row>
    <row r="32" spans="3:4" x14ac:dyDescent="0.25">
      <c r="C32" s="46"/>
    </row>
    <row r="33" spans="3:3" x14ac:dyDescent="0.25">
      <c r="C33" s="46"/>
    </row>
    <row r="34" spans="3:3" x14ac:dyDescent="0.25">
      <c r="C34" s="46"/>
    </row>
    <row r="35" spans="3:3" x14ac:dyDescent="0.25">
      <c r="C35" s="46"/>
    </row>
    <row r="36" spans="3:3" x14ac:dyDescent="0.25">
      <c r="C36" s="46"/>
    </row>
    <row r="37" spans="3:3" x14ac:dyDescent="0.25">
      <c r="C37" s="46"/>
    </row>
    <row r="38" spans="3:3" x14ac:dyDescent="0.25">
      <c r="C38" s="46"/>
    </row>
    <row r="39" spans="3:3" x14ac:dyDescent="0.25">
      <c r="C39" s="46"/>
    </row>
    <row r="40" spans="3:3" x14ac:dyDescent="0.25">
      <c r="C40" s="46"/>
    </row>
    <row r="41" spans="3:3" x14ac:dyDescent="0.25">
      <c r="C41" s="46"/>
    </row>
    <row r="42" spans="3:3" x14ac:dyDescent="0.25">
      <c r="C42" s="46"/>
    </row>
    <row r="43" spans="3:3" x14ac:dyDescent="0.25">
      <c r="C43" s="46"/>
    </row>
    <row r="44" spans="3:3" x14ac:dyDescent="0.25">
      <c r="C44" s="46"/>
    </row>
    <row r="45" spans="3:3" x14ac:dyDescent="0.25">
      <c r="C45" s="46"/>
    </row>
    <row r="46" spans="3:3" x14ac:dyDescent="0.25">
      <c r="C46" s="46"/>
    </row>
    <row r="47" spans="3:3" x14ac:dyDescent="0.25">
      <c r="C47" s="46"/>
    </row>
    <row r="48" spans="3:3" x14ac:dyDescent="0.25">
      <c r="C48" s="46"/>
    </row>
    <row r="49" spans="3:3" x14ac:dyDescent="0.25">
      <c r="C49" s="46"/>
    </row>
    <row r="50" spans="3:3" x14ac:dyDescent="0.25">
      <c r="C50" s="46"/>
    </row>
    <row r="51" spans="3:3" x14ac:dyDescent="0.25">
      <c r="C51" s="46"/>
    </row>
    <row r="52" spans="3:3" x14ac:dyDescent="0.25">
      <c r="C52" s="46"/>
    </row>
    <row r="53" spans="3:3" x14ac:dyDescent="0.25">
      <c r="C53" s="46"/>
    </row>
    <row r="54" spans="3:3" x14ac:dyDescent="0.25">
      <c r="C54" s="46"/>
    </row>
    <row r="55" spans="3:3" x14ac:dyDescent="0.25">
      <c r="C55" s="46"/>
    </row>
    <row r="56" spans="3:3" x14ac:dyDescent="0.25">
      <c r="C56" s="46"/>
    </row>
    <row r="57" spans="3:3" x14ac:dyDescent="0.25">
      <c r="C57" s="46"/>
    </row>
    <row r="58" spans="3:3" x14ac:dyDescent="0.25">
      <c r="C58" s="46"/>
    </row>
    <row r="59" spans="3:3" x14ac:dyDescent="0.25">
      <c r="C59" s="46"/>
    </row>
    <row r="60" spans="3:3" x14ac:dyDescent="0.25">
      <c r="C60" s="46"/>
    </row>
    <row r="61" spans="3:3" x14ac:dyDescent="0.25">
      <c r="C61" s="46"/>
    </row>
    <row r="62" spans="3:3" x14ac:dyDescent="0.25">
      <c r="C62" s="46"/>
    </row>
    <row r="63" spans="3:3" x14ac:dyDescent="0.25">
      <c r="C63" s="46"/>
    </row>
    <row r="64" spans="3:3" x14ac:dyDescent="0.25">
      <c r="C64" s="46"/>
    </row>
    <row r="65" spans="3:3" x14ac:dyDescent="0.25">
      <c r="C65" s="46"/>
    </row>
    <row r="66" spans="3:3" x14ac:dyDescent="0.25">
      <c r="C66" s="46"/>
    </row>
    <row r="67" spans="3:3" x14ac:dyDescent="0.25">
      <c r="C67" s="46"/>
    </row>
    <row r="68" spans="3:3" x14ac:dyDescent="0.25">
      <c r="C68" s="46"/>
    </row>
    <row r="69" spans="3:3" x14ac:dyDescent="0.25">
      <c r="C69" s="46"/>
    </row>
    <row r="70" spans="3:3" x14ac:dyDescent="0.25">
      <c r="C70" s="46"/>
    </row>
    <row r="71" spans="3:3" x14ac:dyDescent="0.25">
      <c r="C71" s="46"/>
    </row>
    <row r="72" spans="3:3" x14ac:dyDescent="0.25">
      <c r="C72" s="46"/>
    </row>
    <row r="73" spans="3:3" x14ac:dyDescent="0.25">
      <c r="C73" s="46"/>
    </row>
    <row r="74" spans="3:3" x14ac:dyDescent="0.25">
      <c r="C74" s="46"/>
    </row>
    <row r="75" spans="3:3" x14ac:dyDescent="0.25">
      <c r="C75" s="46"/>
    </row>
    <row r="76" spans="3:3" x14ac:dyDescent="0.25">
      <c r="C76" s="46"/>
    </row>
    <row r="77" spans="3:3" x14ac:dyDescent="0.25">
      <c r="C77" s="46"/>
    </row>
    <row r="78" spans="3:3" x14ac:dyDescent="0.25">
      <c r="C78" s="46"/>
    </row>
    <row r="79" spans="3:3" x14ac:dyDescent="0.25">
      <c r="C79" s="4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89"/>
  <sheetViews>
    <sheetView showGridLines="0" zoomScaleNormal="100" workbookViewId="0">
      <selection activeCell="M10" sqref="M10"/>
    </sheetView>
  </sheetViews>
  <sheetFormatPr defaultRowHeight="12.75" x14ac:dyDescent="0.25"/>
  <cols>
    <col min="1" max="1" width="2.85546875" style="46" customWidth="1"/>
    <col min="2" max="2" width="15.140625" style="46" customWidth="1"/>
    <col min="3" max="3" width="39" style="72" bestFit="1" customWidth="1"/>
    <col min="4" max="4" width="15.28515625" style="46" bestFit="1" customWidth="1"/>
    <col min="5" max="5" width="21" style="74" bestFit="1" customWidth="1"/>
    <col min="6" max="16384" width="9.140625" style="46"/>
  </cols>
  <sheetData>
    <row r="3" spans="2:5" x14ac:dyDescent="0.25">
      <c r="B3" s="82"/>
      <c r="C3" s="82"/>
      <c r="D3" s="88" t="s">
        <v>460</v>
      </c>
      <c r="E3" s="83"/>
    </row>
    <row r="4" spans="2:5" x14ac:dyDescent="0.25">
      <c r="B4" s="88" t="s">
        <v>430</v>
      </c>
      <c r="C4" s="88" t="s">
        <v>4</v>
      </c>
      <c r="D4" s="82" t="s">
        <v>462</v>
      </c>
      <c r="E4" s="83" t="s">
        <v>461</v>
      </c>
    </row>
    <row r="5" spans="2:5" x14ac:dyDescent="0.25">
      <c r="B5" s="82">
        <v>2.7</v>
      </c>
      <c r="C5" s="82" t="s">
        <v>41</v>
      </c>
      <c r="D5" s="89">
        <v>0</v>
      </c>
      <c r="E5" s="83">
        <v>0</v>
      </c>
    </row>
    <row r="6" spans="2:5" hidden="1" x14ac:dyDescent="0.25">
      <c r="B6" s="82">
        <v>2.7</v>
      </c>
      <c r="C6" s="82" t="s">
        <v>47</v>
      </c>
      <c r="D6" s="89">
        <v>0</v>
      </c>
      <c r="E6" s="83">
        <v>0</v>
      </c>
    </row>
    <row r="7" spans="2:5" hidden="1" x14ac:dyDescent="0.25">
      <c r="B7" s="82">
        <v>2.7</v>
      </c>
      <c r="C7" s="82" t="s">
        <v>49</v>
      </c>
      <c r="D7" s="89">
        <v>0</v>
      </c>
      <c r="E7" s="83">
        <v>0</v>
      </c>
    </row>
    <row r="8" spans="2:5" hidden="1" x14ac:dyDescent="0.25">
      <c r="B8" s="82">
        <v>2.7</v>
      </c>
      <c r="C8" s="82" t="s">
        <v>51</v>
      </c>
      <c r="D8" s="89">
        <v>0</v>
      </c>
      <c r="E8" s="83">
        <v>0</v>
      </c>
    </row>
    <row r="9" spans="2:5" x14ac:dyDescent="0.25">
      <c r="B9" s="82">
        <v>2.8</v>
      </c>
      <c r="C9" s="82" t="s">
        <v>86</v>
      </c>
      <c r="D9" s="89">
        <v>0</v>
      </c>
      <c r="E9" s="83">
        <v>0</v>
      </c>
    </row>
    <row r="10" spans="2:5" x14ac:dyDescent="0.25">
      <c r="B10" s="82">
        <v>2.8</v>
      </c>
      <c r="C10" s="82" t="s">
        <v>203</v>
      </c>
      <c r="D10" s="89">
        <v>0</v>
      </c>
      <c r="E10" s="83">
        <v>0</v>
      </c>
    </row>
    <row r="11" spans="2:5" x14ac:dyDescent="0.25">
      <c r="B11" s="82">
        <v>2.8</v>
      </c>
      <c r="C11" s="82" t="s">
        <v>239</v>
      </c>
      <c r="D11" s="89">
        <v>0</v>
      </c>
      <c r="E11" s="83">
        <v>0</v>
      </c>
    </row>
    <row r="12" spans="2:5" hidden="1" x14ac:dyDescent="0.25">
      <c r="B12" s="82">
        <v>3</v>
      </c>
      <c r="C12" s="82" t="s">
        <v>21</v>
      </c>
      <c r="D12" s="89">
        <v>0</v>
      </c>
      <c r="E12" s="83">
        <v>0</v>
      </c>
    </row>
    <row r="13" spans="2:5" x14ac:dyDescent="0.25">
      <c r="B13" s="82">
        <v>3</v>
      </c>
      <c r="C13" s="82" t="s">
        <v>277</v>
      </c>
      <c r="D13" s="89">
        <v>0</v>
      </c>
      <c r="E13" s="83">
        <v>0</v>
      </c>
    </row>
    <row r="14" spans="2:5" x14ac:dyDescent="0.25">
      <c r="B14" s="82">
        <v>3</v>
      </c>
      <c r="C14" s="82" t="s">
        <v>187</v>
      </c>
      <c r="D14" s="89">
        <v>0</v>
      </c>
      <c r="E14" s="83">
        <v>0</v>
      </c>
    </row>
    <row r="15" spans="2:5" hidden="1" x14ac:dyDescent="0.25">
      <c r="B15" s="82">
        <v>3</v>
      </c>
      <c r="C15" s="82" t="s">
        <v>205</v>
      </c>
      <c r="D15" s="89">
        <v>0</v>
      </c>
      <c r="E15" s="83">
        <v>0</v>
      </c>
    </row>
    <row r="16" spans="2:5" x14ac:dyDescent="0.25">
      <c r="B16" s="82">
        <v>3</v>
      </c>
      <c r="C16" s="82" t="s">
        <v>235</v>
      </c>
      <c r="D16" s="89">
        <v>0</v>
      </c>
      <c r="E16" s="83">
        <v>0</v>
      </c>
    </row>
    <row r="17" spans="2:5" hidden="1" x14ac:dyDescent="0.25">
      <c r="B17" s="82">
        <v>3.2</v>
      </c>
      <c r="C17" s="82" t="s">
        <v>25</v>
      </c>
      <c r="D17" s="89">
        <v>0</v>
      </c>
      <c r="E17" s="83">
        <v>0</v>
      </c>
    </row>
    <row r="18" spans="2:5" x14ac:dyDescent="0.25">
      <c r="B18" s="82">
        <v>3.2</v>
      </c>
      <c r="C18" s="82" t="s">
        <v>207</v>
      </c>
      <c r="D18" s="89">
        <v>0</v>
      </c>
      <c r="E18" s="83">
        <v>0</v>
      </c>
    </row>
    <row r="19" spans="2:5" x14ac:dyDescent="0.25">
      <c r="B19" s="82">
        <v>3.2</v>
      </c>
      <c r="C19" s="82" t="s">
        <v>243</v>
      </c>
      <c r="D19" s="82">
        <v>0</v>
      </c>
      <c r="E19" s="83">
        <v>0</v>
      </c>
    </row>
    <row r="20" spans="2:5" hidden="1" x14ac:dyDescent="0.25">
      <c r="B20" s="82" t="s">
        <v>459</v>
      </c>
      <c r="C20" s="82" t="s">
        <v>445</v>
      </c>
      <c r="D20" s="82">
        <v>0</v>
      </c>
      <c r="E20" s="83">
        <v>0</v>
      </c>
    </row>
    <row r="21" spans="2:5" hidden="1" x14ac:dyDescent="0.25">
      <c r="B21" s="82" t="s">
        <v>459</v>
      </c>
      <c r="C21" s="82" t="s">
        <v>23</v>
      </c>
      <c r="D21" s="82">
        <v>0</v>
      </c>
      <c r="E21" s="83">
        <v>0</v>
      </c>
    </row>
    <row r="22" spans="2:5" hidden="1" x14ac:dyDescent="0.25">
      <c r="B22" s="82" t="s">
        <v>459</v>
      </c>
      <c r="C22" s="82" t="s">
        <v>21</v>
      </c>
      <c r="D22" s="82">
        <v>0</v>
      </c>
      <c r="E22" s="83">
        <v>0</v>
      </c>
    </row>
    <row r="23" spans="2:5" hidden="1" x14ac:dyDescent="0.25">
      <c r="B23" s="82" t="s">
        <v>459</v>
      </c>
      <c r="C23" s="82" t="s">
        <v>25</v>
      </c>
      <c r="D23" s="82">
        <v>0</v>
      </c>
      <c r="E23" s="83">
        <v>0</v>
      </c>
    </row>
    <row r="24" spans="2:5" hidden="1" x14ac:dyDescent="0.25">
      <c r="B24" s="82" t="s">
        <v>459</v>
      </c>
      <c r="C24" s="82" t="s">
        <v>27</v>
      </c>
      <c r="D24" s="82">
        <v>0</v>
      </c>
      <c r="E24" s="83">
        <v>0</v>
      </c>
    </row>
    <row r="25" spans="2:5" hidden="1" x14ac:dyDescent="0.25">
      <c r="B25" s="82" t="s">
        <v>459</v>
      </c>
      <c r="C25" s="82" t="s">
        <v>29</v>
      </c>
      <c r="D25" s="82">
        <v>0</v>
      </c>
      <c r="E25" s="83">
        <v>0</v>
      </c>
    </row>
    <row r="26" spans="2:5" hidden="1" x14ac:dyDescent="0.25">
      <c r="B26" s="82" t="s">
        <v>459</v>
      </c>
      <c r="C26" s="82" t="s">
        <v>37</v>
      </c>
      <c r="D26" s="82">
        <v>0</v>
      </c>
      <c r="E26" s="83">
        <v>0</v>
      </c>
    </row>
    <row r="27" spans="2:5" hidden="1" x14ac:dyDescent="0.25">
      <c r="B27" s="82" t="s">
        <v>459</v>
      </c>
      <c r="C27" s="82" t="s">
        <v>41</v>
      </c>
      <c r="D27" s="82">
        <v>0</v>
      </c>
      <c r="E27" s="83"/>
    </row>
    <row r="28" spans="2:5" hidden="1" x14ac:dyDescent="0.25">
      <c r="B28" s="82" t="s">
        <v>459</v>
      </c>
      <c r="C28" s="82" t="s">
        <v>418</v>
      </c>
      <c r="D28" s="82">
        <v>0</v>
      </c>
      <c r="E28" s="83">
        <v>0</v>
      </c>
    </row>
    <row r="29" spans="2:5" hidden="1" x14ac:dyDescent="0.25">
      <c r="B29" s="82" t="s">
        <v>459</v>
      </c>
      <c r="C29" s="82" t="s">
        <v>75</v>
      </c>
      <c r="D29" s="82">
        <v>0</v>
      </c>
      <c r="E29" s="83">
        <v>0</v>
      </c>
    </row>
    <row r="30" spans="2:5" hidden="1" x14ac:dyDescent="0.25">
      <c r="B30" s="82" t="s">
        <v>459</v>
      </c>
      <c r="C30" s="82" t="s">
        <v>45</v>
      </c>
      <c r="D30" s="82">
        <v>0</v>
      </c>
      <c r="E30" s="83">
        <v>0</v>
      </c>
    </row>
    <row r="31" spans="2:5" hidden="1" x14ac:dyDescent="0.25">
      <c r="B31" s="82" t="s">
        <v>459</v>
      </c>
      <c r="C31" s="82" t="s">
        <v>88</v>
      </c>
      <c r="D31" s="82">
        <v>0</v>
      </c>
      <c r="E31" s="83">
        <v>0</v>
      </c>
    </row>
    <row r="32" spans="2:5" hidden="1" x14ac:dyDescent="0.25">
      <c r="B32" s="82" t="s">
        <v>459</v>
      </c>
      <c r="C32" s="82" t="s">
        <v>277</v>
      </c>
      <c r="D32" s="82">
        <v>0</v>
      </c>
      <c r="E32" s="83">
        <v>0</v>
      </c>
    </row>
    <row r="33" spans="2:5" hidden="1" x14ac:dyDescent="0.25">
      <c r="B33" s="82" t="s">
        <v>459</v>
      </c>
      <c r="C33" s="82" t="s">
        <v>86</v>
      </c>
      <c r="D33" s="82">
        <v>0</v>
      </c>
      <c r="E33" s="83">
        <v>0</v>
      </c>
    </row>
    <row r="34" spans="2:5" hidden="1" x14ac:dyDescent="0.25">
      <c r="B34" s="82" t="s">
        <v>459</v>
      </c>
      <c r="C34" s="82" t="s">
        <v>92</v>
      </c>
      <c r="D34" s="82">
        <v>0</v>
      </c>
      <c r="E34" s="83">
        <v>0</v>
      </c>
    </row>
    <row r="35" spans="2:5" hidden="1" x14ac:dyDescent="0.25">
      <c r="B35" s="82" t="s">
        <v>459</v>
      </c>
      <c r="C35" s="82" t="s">
        <v>96</v>
      </c>
      <c r="D35" s="82">
        <v>0</v>
      </c>
      <c r="E35" s="83">
        <v>0</v>
      </c>
    </row>
    <row r="36" spans="2:5" hidden="1" x14ac:dyDescent="0.25">
      <c r="B36" s="82" t="s">
        <v>459</v>
      </c>
      <c r="C36" s="82" t="s">
        <v>311</v>
      </c>
      <c r="D36" s="82">
        <v>0</v>
      </c>
      <c r="E36" s="83">
        <v>0</v>
      </c>
    </row>
    <row r="37" spans="2:5" hidden="1" x14ac:dyDescent="0.25">
      <c r="B37" s="82" t="s">
        <v>459</v>
      </c>
      <c r="C37" s="82" t="s">
        <v>313</v>
      </c>
      <c r="D37" s="82">
        <v>0</v>
      </c>
      <c r="E37" s="83">
        <v>0</v>
      </c>
    </row>
    <row r="38" spans="2:5" hidden="1" x14ac:dyDescent="0.25">
      <c r="B38" s="82" t="s">
        <v>459</v>
      </c>
      <c r="C38" s="82" t="s">
        <v>317</v>
      </c>
      <c r="D38" s="82">
        <v>0</v>
      </c>
      <c r="E38" s="83">
        <v>0</v>
      </c>
    </row>
    <row r="39" spans="2:5" hidden="1" x14ac:dyDescent="0.25">
      <c r="B39" s="82" t="s">
        <v>459</v>
      </c>
      <c r="C39" s="82" t="s">
        <v>100</v>
      </c>
      <c r="D39" s="82">
        <v>0</v>
      </c>
      <c r="E39" s="83">
        <v>0</v>
      </c>
    </row>
    <row r="40" spans="2:5" hidden="1" x14ac:dyDescent="0.25">
      <c r="B40" s="82" t="s">
        <v>459</v>
      </c>
      <c r="C40" s="82" t="s">
        <v>104</v>
      </c>
      <c r="D40" s="82">
        <v>0</v>
      </c>
      <c r="E40" s="83">
        <v>0</v>
      </c>
    </row>
    <row r="41" spans="2:5" hidden="1" x14ac:dyDescent="0.25">
      <c r="B41" s="82" t="s">
        <v>459</v>
      </c>
      <c r="C41" s="82" t="s">
        <v>112</v>
      </c>
      <c r="D41" s="82">
        <v>0</v>
      </c>
      <c r="E41" s="83">
        <v>0</v>
      </c>
    </row>
    <row r="42" spans="2:5" hidden="1" x14ac:dyDescent="0.25">
      <c r="B42" s="82" t="s">
        <v>459</v>
      </c>
      <c r="C42" s="82" t="s">
        <v>133</v>
      </c>
      <c r="D42" s="82">
        <v>0</v>
      </c>
      <c r="E42" s="83">
        <v>0</v>
      </c>
    </row>
    <row r="43" spans="2:5" hidden="1" x14ac:dyDescent="0.25">
      <c r="B43" s="82" t="s">
        <v>459</v>
      </c>
      <c r="C43" s="82" t="s">
        <v>167</v>
      </c>
      <c r="D43" s="82">
        <v>0</v>
      </c>
      <c r="E43" s="83">
        <v>0</v>
      </c>
    </row>
    <row r="44" spans="2:5" hidden="1" x14ac:dyDescent="0.25">
      <c r="B44" s="82" t="s">
        <v>459</v>
      </c>
      <c r="C44" s="82" t="s">
        <v>169</v>
      </c>
      <c r="D44" s="82">
        <v>0</v>
      </c>
      <c r="E44" s="83">
        <v>0</v>
      </c>
    </row>
    <row r="45" spans="2:5" hidden="1" x14ac:dyDescent="0.25">
      <c r="B45" s="82" t="s">
        <v>459</v>
      </c>
      <c r="C45" s="82" t="s">
        <v>187</v>
      </c>
      <c r="D45" s="82">
        <v>0</v>
      </c>
      <c r="E45" s="83">
        <v>0</v>
      </c>
    </row>
    <row r="46" spans="2:5" hidden="1" x14ac:dyDescent="0.25">
      <c r="B46" s="82" t="s">
        <v>459</v>
      </c>
      <c r="C46" s="82" t="s">
        <v>203</v>
      </c>
      <c r="D46" s="82">
        <v>0</v>
      </c>
      <c r="E46" s="83">
        <v>0</v>
      </c>
    </row>
    <row r="47" spans="2:5" hidden="1" x14ac:dyDescent="0.25">
      <c r="B47" s="82" t="s">
        <v>459</v>
      </c>
      <c r="C47" s="82" t="s">
        <v>205</v>
      </c>
      <c r="D47" s="82">
        <v>0</v>
      </c>
      <c r="E47" s="83">
        <v>0</v>
      </c>
    </row>
    <row r="48" spans="2:5" hidden="1" x14ac:dyDescent="0.25">
      <c r="B48" s="82" t="s">
        <v>459</v>
      </c>
      <c r="C48" s="82" t="s">
        <v>207</v>
      </c>
      <c r="D48" s="82">
        <v>0</v>
      </c>
      <c r="E48" s="83">
        <v>0</v>
      </c>
    </row>
    <row r="49" spans="2:5" hidden="1" x14ac:dyDescent="0.25">
      <c r="B49" s="82" t="s">
        <v>459</v>
      </c>
      <c r="C49" s="82" t="s">
        <v>209</v>
      </c>
      <c r="D49" s="82">
        <v>0</v>
      </c>
      <c r="E49" s="83">
        <v>0</v>
      </c>
    </row>
    <row r="50" spans="2:5" hidden="1" x14ac:dyDescent="0.25">
      <c r="B50" s="82" t="s">
        <v>459</v>
      </c>
      <c r="C50" s="82" t="s">
        <v>211</v>
      </c>
      <c r="D50" s="82">
        <v>0</v>
      </c>
      <c r="E50" s="83">
        <v>0</v>
      </c>
    </row>
    <row r="51" spans="2:5" hidden="1" x14ac:dyDescent="0.25">
      <c r="B51" s="82" t="s">
        <v>459</v>
      </c>
      <c r="C51" s="82" t="s">
        <v>221</v>
      </c>
      <c r="D51" s="82">
        <v>0</v>
      </c>
      <c r="E51" s="83">
        <v>0</v>
      </c>
    </row>
    <row r="52" spans="2:5" hidden="1" x14ac:dyDescent="0.25">
      <c r="B52" s="82" t="s">
        <v>459</v>
      </c>
      <c r="C52" s="82" t="s">
        <v>235</v>
      </c>
      <c r="D52" s="82">
        <v>0</v>
      </c>
      <c r="E52" s="83">
        <v>0</v>
      </c>
    </row>
    <row r="53" spans="2:5" hidden="1" x14ac:dyDescent="0.25">
      <c r="B53" s="82" t="s">
        <v>459</v>
      </c>
      <c r="C53" s="82" t="s">
        <v>223</v>
      </c>
      <c r="D53" s="82">
        <v>0</v>
      </c>
      <c r="E53" s="83">
        <v>0</v>
      </c>
    </row>
    <row r="54" spans="2:5" hidden="1" x14ac:dyDescent="0.25">
      <c r="B54" s="82" t="s">
        <v>459</v>
      </c>
      <c r="C54" s="82" t="s">
        <v>225</v>
      </c>
      <c r="D54" s="82">
        <v>0</v>
      </c>
      <c r="E54" s="83">
        <v>0</v>
      </c>
    </row>
    <row r="55" spans="2:5" hidden="1" x14ac:dyDescent="0.25">
      <c r="B55" s="82" t="s">
        <v>459</v>
      </c>
      <c r="C55" s="82" t="s">
        <v>239</v>
      </c>
      <c r="D55" s="82">
        <v>0</v>
      </c>
      <c r="E55" s="83">
        <v>0</v>
      </c>
    </row>
    <row r="56" spans="2:5" hidden="1" x14ac:dyDescent="0.25">
      <c r="B56" s="82" t="s">
        <v>459</v>
      </c>
      <c r="C56" s="82" t="s">
        <v>241</v>
      </c>
      <c r="D56" s="82">
        <v>0</v>
      </c>
      <c r="E56" s="83">
        <v>0</v>
      </c>
    </row>
    <row r="57" spans="2:5" hidden="1" x14ac:dyDescent="0.25">
      <c r="B57" s="82" t="s">
        <v>459</v>
      </c>
      <c r="C57" s="82" t="s">
        <v>243</v>
      </c>
      <c r="D57" s="82">
        <v>0</v>
      </c>
      <c r="E57" s="83">
        <v>0</v>
      </c>
    </row>
    <row r="58" spans="2:5" hidden="1" x14ac:dyDescent="0.25">
      <c r="B58" s="82" t="s">
        <v>459</v>
      </c>
      <c r="C58" s="82" t="s">
        <v>245</v>
      </c>
      <c r="D58" s="82">
        <v>0</v>
      </c>
      <c r="E58" s="83">
        <v>0</v>
      </c>
    </row>
    <row r="59" spans="2:5" hidden="1" x14ac:dyDescent="0.25">
      <c r="B59" s="82" t="s">
        <v>459</v>
      </c>
      <c r="C59" s="82" t="s">
        <v>247</v>
      </c>
      <c r="D59" s="82">
        <v>0</v>
      </c>
      <c r="E59" s="83">
        <v>0</v>
      </c>
    </row>
    <row r="60" spans="2:5" hidden="1" x14ac:dyDescent="0.25">
      <c r="B60" s="82" t="s">
        <v>459</v>
      </c>
      <c r="C60" s="82" t="s">
        <v>265</v>
      </c>
      <c r="D60" s="82">
        <v>0</v>
      </c>
      <c r="E60" s="83">
        <v>0</v>
      </c>
    </row>
    <row r="61" spans="2:5" hidden="1" x14ac:dyDescent="0.25">
      <c r="B61" s="82" t="s">
        <v>459</v>
      </c>
      <c r="C61" s="82" t="s">
        <v>275</v>
      </c>
      <c r="D61" s="82">
        <v>0</v>
      </c>
      <c r="E61" s="83">
        <v>0</v>
      </c>
    </row>
    <row r="62" spans="2:5" hidden="1" x14ac:dyDescent="0.25">
      <c r="B62" s="82">
        <v>3.85</v>
      </c>
      <c r="C62" s="82" t="s">
        <v>443</v>
      </c>
      <c r="D62" s="82">
        <v>0</v>
      </c>
      <c r="E62" s="83">
        <v>0</v>
      </c>
    </row>
    <row r="63" spans="2:5" hidden="1" x14ac:dyDescent="0.25">
      <c r="B63" s="82">
        <v>3.85</v>
      </c>
      <c r="C63" s="82" t="s">
        <v>444</v>
      </c>
      <c r="D63" s="82">
        <v>0</v>
      </c>
      <c r="E63" s="83">
        <v>0</v>
      </c>
    </row>
    <row r="64" spans="2:5" hidden="1" x14ac:dyDescent="0.25">
      <c r="B64" s="82">
        <v>3.6</v>
      </c>
      <c r="C64" s="82" t="s">
        <v>247</v>
      </c>
      <c r="D64" s="82">
        <v>0</v>
      </c>
      <c r="E64" s="83">
        <v>0</v>
      </c>
    </row>
    <row r="65" spans="2:5" hidden="1" x14ac:dyDescent="0.25">
      <c r="B65" s="82" t="s">
        <v>425</v>
      </c>
      <c r="C65" s="82"/>
      <c r="D65" s="82">
        <v>0</v>
      </c>
      <c r="E65" s="83">
        <v>0</v>
      </c>
    </row>
    <row r="66" spans="2:5" hidden="1" x14ac:dyDescent="0.25">
      <c r="B66"/>
      <c r="C66"/>
      <c r="D66"/>
      <c r="E66"/>
    </row>
    <row r="67" spans="2:5" hidden="1" x14ac:dyDescent="0.25">
      <c r="B67"/>
      <c r="C67"/>
      <c r="D67"/>
      <c r="E67"/>
    </row>
    <row r="68" spans="2:5" hidden="1" x14ac:dyDescent="0.25">
      <c r="B68"/>
      <c r="C68"/>
      <c r="D68"/>
      <c r="E68"/>
    </row>
    <row r="69" spans="2:5" hidden="1" x14ac:dyDescent="0.25">
      <c r="B69"/>
      <c r="C69"/>
      <c r="D69"/>
      <c r="E69"/>
    </row>
    <row r="70" spans="2:5" hidden="1" x14ac:dyDescent="0.25">
      <c r="B70"/>
      <c r="C70"/>
      <c r="D70"/>
      <c r="E70"/>
    </row>
    <row r="71" spans="2:5" hidden="1" x14ac:dyDescent="0.25">
      <c r="B71"/>
      <c r="C71"/>
      <c r="D71"/>
      <c r="E71"/>
    </row>
    <row r="72" spans="2:5" hidden="1" x14ac:dyDescent="0.25">
      <c r="B72"/>
      <c r="C72"/>
      <c r="D72"/>
      <c r="E72"/>
    </row>
    <row r="73" spans="2:5" hidden="1" x14ac:dyDescent="0.25">
      <c r="B73"/>
      <c r="C73"/>
      <c r="D73"/>
      <c r="E73"/>
    </row>
    <row r="74" spans="2:5" ht="15" x14ac:dyDescent="0.25">
      <c r="B74"/>
      <c r="C74"/>
      <c r="D74"/>
      <c r="E74"/>
    </row>
    <row r="75" spans="2:5" ht="15" x14ac:dyDescent="0.25">
      <c r="B75"/>
      <c r="C75"/>
      <c r="D75"/>
      <c r="E75"/>
    </row>
    <row r="76" spans="2:5" ht="15" x14ac:dyDescent="0.25">
      <c r="B76"/>
      <c r="C76"/>
      <c r="D76"/>
      <c r="E76"/>
    </row>
    <row r="77" spans="2:5" ht="15" x14ac:dyDescent="0.25">
      <c r="B77"/>
      <c r="C77"/>
      <c r="D77"/>
      <c r="E77"/>
    </row>
    <row r="78" spans="2:5" x14ac:dyDescent="0.25">
      <c r="B78" s="76"/>
      <c r="C78" s="76"/>
      <c r="D78" s="76"/>
      <c r="E78" s="77"/>
    </row>
    <row r="79" spans="2:5" x14ac:dyDescent="0.25">
      <c r="B79" s="76"/>
      <c r="C79" s="76"/>
      <c r="D79" s="76"/>
      <c r="E79" s="77"/>
    </row>
    <row r="80" spans="2:5" ht="15" x14ac:dyDescent="0.25">
      <c r="B80" t="s">
        <v>430</v>
      </c>
      <c r="C80" t="s">
        <v>4</v>
      </c>
      <c r="D80" t="s">
        <v>462</v>
      </c>
      <c r="E80" s="74" t="s">
        <v>461</v>
      </c>
    </row>
    <row r="81" spans="2:5" ht="15" x14ac:dyDescent="0.25">
      <c r="B81">
        <v>2.7</v>
      </c>
      <c r="C81" t="s">
        <v>41</v>
      </c>
      <c r="D81">
        <v>48</v>
      </c>
      <c r="E81" s="74">
        <v>11664</v>
      </c>
    </row>
    <row r="82" spans="2:5" ht="15" x14ac:dyDescent="0.25">
      <c r="B82">
        <v>2.8</v>
      </c>
      <c r="C82" t="s">
        <v>86</v>
      </c>
      <c r="D82">
        <v>80</v>
      </c>
      <c r="E82" s="74">
        <v>20160</v>
      </c>
    </row>
    <row r="83" spans="2:5" x14ac:dyDescent="0.25">
      <c r="B83" s="46">
        <v>2.8</v>
      </c>
      <c r="C83" s="72" t="s">
        <v>203</v>
      </c>
      <c r="D83" s="46">
        <v>7</v>
      </c>
      <c r="E83" s="74">
        <v>1372.0000000000002</v>
      </c>
    </row>
    <row r="84" spans="2:5" x14ac:dyDescent="0.25">
      <c r="B84" s="46">
        <v>2.8</v>
      </c>
      <c r="C84" s="72" t="s">
        <v>239</v>
      </c>
      <c r="D84" s="46">
        <v>14.4</v>
      </c>
      <c r="E84" s="74">
        <v>3628.8</v>
      </c>
    </row>
    <row r="85" spans="2:5" x14ac:dyDescent="0.25">
      <c r="B85" s="46">
        <v>3</v>
      </c>
      <c r="C85" s="72" t="s">
        <v>277</v>
      </c>
      <c r="D85" s="46">
        <v>4.5</v>
      </c>
      <c r="E85" s="74">
        <v>1215</v>
      </c>
    </row>
    <row r="86" spans="2:5" x14ac:dyDescent="0.25">
      <c r="B86" s="46">
        <v>3</v>
      </c>
      <c r="C86" s="72" t="s">
        <v>187</v>
      </c>
      <c r="D86" s="46">
        <v>9.75</v>
      </c>
      <c r="E86" s="74">
        <v>1901.25</v>
      </c>
    </row>
    <row r="87" spans="2:5" x14ac:dyDescent="0.25">
      <c r="B87" s="46">
        <v>3</v>
      </c>
      <c r="C87" s="72" t="s">
        <v>235</v>
      </c>
      <c r="D87" s="46">
        <v>3.75</v>
      </c>
      <c r="E87" s="74">
        <v>787.50000000000011</v>
      </c>
    </row>
    <row r="88" spans="2:5" x14ac:dyDescent="0.25">
      <c r="B88" s="46">
        <v>3.2</v>
      </c>
      <c r="C88" s="72" t="s">
        <v>207</v>
      </c>
      <c r="D88" s="46">
        <v>7</v>
      </c>
      <c r="E88" s="74">
        <v>2016</v>
      </c>
    </row>
    <row r="89" spans="2:5" x14ac:dyDescent="0.25">
      <c r="B89" s="46">
        <v>3.2</v>
      </c>
      <c r="C89" s="72" t="s">
        <v>243</v>
      </c>
      <c r="D89" s="46">
        <v>76</v>
      </c>
      <c r="E89" s="74">
        <v>21888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AW35"/>
  <sheetViews>
    <sheetView showGridLines="0" zoomScaleNormal="100" zoomScaleSheetLayoutView="115" workbookViewId="0">
      <selection activeCell="E21" sqref="E21"/>
    </sheetView>
  </sheetViews>
  <sheetFormatPr defaultColWidth="9.140625" defaultRowHeight="13.5" x14ac:dyDescent="0.25"/>
  <cols>
    <col min="1" max="1" width="11.140625" style="1" bestFit="1" customWidth="1"/>
    <col min="2" max="2" width="41.140625" style="2" customWidth="1"/>
    <col min="3" max="3" width="16" style="3" customWidth="1"/>
    <col min="4" max="4" width="14.42578125" style="2" customWidth="1"/>
    <col min="5" max="5" width="16.42578125" style="1" customWidth="1"/>
    <col min="6" max="6" width="14.42578125" style="2" customWidth="1"/>
    <col min="7" max="7" width="13.42578125" style="1" customWidth="1"/>
    <col min="8" max="8" width="21.140625" style="2" customWidth="1"/>
    <col min="9" max="9" width="17.28515625" style="2" customWidth="1"/>
    <col min="10" max="11" width="19.42578125" style="2" customWidth="1"/>
    <col min="12" max="43" width="11.7109375" style="2" customWidth="1"/>
    <col min="44" max="44" width="10.42578125" style="2" bestFit="1" customWidth="1"/>
    <col min="45" max="45" width="9.140625" style="2" customWidth="1"/>
    <col min="46" max="46" width="10.28515625" style="2" customWidth="1"/>
    <col min="47" max="16384" width="9.140625" style="1"/>
  </cols>
  <sheetData>
    <row r="1" spans="1:49" ht="13.5" customHeight="1" x14ac:dyDescent="0.25"/>
    <row r="2" spans="1:49" ht="15" customHeight="1" x14ac:dyDescent="0.25">
      <c r="B2" s="112" t="s">
        <v>416</v>
      </c>
      <c r="C2" s="113"/>
      <c r="D2" s="113"/>
      <c r="E2" s="113"/>
      <c r="F2" s="114"/>
      <c r="G2" s="2"/>
      <c r="H2" s="5">
        <f>SUBTOTAL(9,$H$11:$H$16)</f>
        <v>80</v>
      </c>
      <c r="AT2" s="1"/>
    </row>
    <row r="3" spans="1:49" ht="15" customHeight="1" x14ac:dyDescent="0.2">
      <c r="B3" s="115"/>
      <c r="C3" s="116"/>
      <c r="D3" s="116"/>
      <c r="E3" s="116"/>
      <c r="F3" s="117"/>
      <c r="G3" s="6"/>
      <c r="H3" s="6"/>
      <c r="I3" s="6"/>
      <c r="J3" s="7"/>
      <c r="K3" s="7"/>
      <c r="AR3" s="4"/>
      <c r="AS3" s="7"/>
      <c r="AT3" s="7"/>
      <c r="AU3" s="7"/>
    </row>
    <row r="4" spans="1:49" ht="12.75" customHeight="1" x14ac:dyDescent="0.2">
      <c r="A4" s="29" t="s">
        <v>15</v>
      </c>
      <c r="B4" s="29" t="s">
        <v>4</v>
      </c>
      <c r="C4" s="29" t="s">
        <v>0</v>
      </c>
      <c r="D4" s="29" t="s">
        <v>408</v>
      </c>
      <c r="E4" s="29" t="s">
        <v>417</v>
      </c>
      <c r="F4" s="29" t="s">
        <v>6</v>
      </c>
      <c r="G4" s="29" t="s">
        <v>401</v>
      </c>
      <c r="H4" s="29" t="s">
        <v>419</v>
      </c>
      <c r="I4" s="29" t="s">
        <v>16</v>
      </c>
      <c r="J4" s="29" t="s">
        <v>398</v>
      </c>
      <c r="K4" s="29" t="s">
        <v>411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16"/>
      <c r="AS4" s="8"/>
      <c r="AT4" s="9"/>
      <c r="AU4" s="9"/>
      <c r="AV4" s="9" t="s">
        <v>398</v>
      </c>
      <c r="AW4" s="8" t="s">
        <v>17</v>
      </c>
    </row>
    <row r="5" spans="1:49" s="8" customFormat="1" ht="12.75" customHeight="1" x14ac:dyDescent="0.25">
      <c r="A5" s="10"/>
      <c r="B5" s="11" t="s">
        <v>239</v>
      </c>
      <c r="C5" s="11" t="s">
        <v>7</v>
      </c>
      <c r="D5" s="12"/>
      <c r="E5" s="12">
        <f>1000-750</f>
        <v>250</v>
      </c>
      <c r="F5" s="13" t="s">
        <v>409</v>
      </c>
      <c r="G5" s="20">
        <f t="shared" ref="G5:G10" si="0">IFERROR(E5/D5,0)</f>
        <v>0</v>
      </c>
      <c r="H5" s="14">
        <f t="shared" ref="H5:H10" si="1">I5/1000</f>
        <v>20</v>
      </c>
      <c r="I5" s="14">
        <f t="shared" ref="I5:I10" si="2">E5*80</f>
        <v>20000</v>
      </c>
      <c r="J5" s="14">
        <f>2.8*1000*0.09</f>
        <v>252</v>
      </c>
      <c r="K5" s="14">
        <f t="shared" ref="K5:K10" si="3">J5*H5</f>
        <v>5040</v>
      </c>
      <c r="AR5" s="16"/>
      <c r="AT5" s="9"/>
      <c r="AU5" s="9"/>
      <c r="AV5" s="9"/>
      <c r="AW5" s="19"/>
    </row>
    <row r="6" spans="1:49" s="8" customFormat="1" ht="12.75" customHeight="1" x14ac:dyDescent="0.25">
      <c r="A6" s="10"/>
      <c r="B6" s="11" t="s">
        <v>241</v>
      </c>
      <c r="C6" s="11" t="s">
        <v>7</v>
      </c>
      <c r="D6" s="12"/>
      <c r="E6" s="12">
        <v>1000</v>
      </c>
      <c r="F6" s="13" t="s">
        <v>409</v>
      </c>
      <c r="G6" s="20">
        <f t="shared" si="0"/>
        <v>0</v>
      </c>
      <c r="H6" s="14">
        <f t="shared" si="1"/>
        <v>80</v>
      </c>
      <c r="I6" s="14">
        <f t="shared" si="2"/>
        <v>80000</v>
      </c>
      <c r="J6" s="14">
        <f>3*1000*0.09</f>
        <v>270</v>
      </c>
      <c r="K6" s="14">
        <f t="shared" si="3"/>
        <v>21600</v>
      </c>
      <c r="AR6" s="16"/>
      <c r="AT6" s="9"/>
      <c r="AU6" s="9"/>
      <c r="AV6" s="9"/>
      <c r="AW6" s="19"/>
    </row>
    <row r="7" spans="1:49" s="8" customFormat="1" ht="12.75" customHeight="1" x14ac:dyDescent="0.25">
      <c r="A7" s="10"/>
      <c r="B7" s="11" t="s">
        <v>245</v>
      </c>
      <c r="C7" s="11" t="s">
        <v>7</v>
      </c>
      <c r="D7" s="12"/>
      <c r="E7" s="12">
        <v>72</v>
      </c>
      <c r="F7" s="13" t="s">
        <v>409</v>
      </c>
      <c r="G7" s="20">
        <f t="shared" si="0"/>
        <v>0</v>
      </c>
      <c r="H7" s="14">
        <f t="shared" si="1"/>
        <v>5.76</v>
      </c>
      <c r="I7" s="14">
        <f t="shared" si="2"/>
        <v>5760</v>
      </c>
      <c r="J7" s="14">
        <f>3.3*1000*0.09</f>
        <v>297</v>
      </c>
      <c r="K7" s="14">
        <f t="shared" si="3"/>
        <v>1710.72</v>
      </c>
      <c r="AR7" s="16"/>
      <c r="AT7" s="9"/>
      <c r="AU7" s="9"/>
      <c r="AV7" s="9"/>
      <c r="AW7" s="19"/>
    </row>
    <row r="8" spans="1:49" s="8" customFormat="1" ht="12.75" customHeight="1" x14ac:dyDescent="0.25">
      <c r="A8" s="10"/>
      <c r="B8" s="11" t="s">
        <v>247</v>
      </c>
      <c r="C8" s="11" t="s">
        <v>7</v>
      </c>
      <c r="D8" s="12"/>
      <c r="E8" s="12">
        <f>866-250</f>
        <v>616</v>
      </c>
      <c r="F8" s="13" t="s">
        <v>409</v>
      </c>
      <c r="G8" s="20">
        <f t="shared" si="0"/>
        <v>0</v>
      </c>
      <c r="H8" s="14">
        <f t="shared" si="1"/>
        <v>49.28</v>
      </c>
      <c r="I8" s="14">
        <f t="shared" si="2"/>
        <v>49280</v>
      </c>
      <c r="J8" s="14">
        <f>3.6*1000*0.09</f>
        <v>324</v>
      </c>
      <c r="K8" s="14">
        <f t="shared" si="3"/>
        <v>15966.720000000001</v>
      </c>
      <c r="AR8" s="16"/>
      <c r="AT8" s="9"/>
      <c r="AU8" s="9"/>
      <c r="AV8" s="9"/>
      <c r="AW8" s="19"/>
    </row>
    <row r="9" spans="1:49" s="8" customFormat="1" ht="12.75" customHeight="1" x14ac:dyDescent="0.25">
      <c r="A9" s="10"/>
      <c r="B9" s="11" t="s">
        <v>205</v>
      </c>
      <c r="C9" s="11" t="s">
        <v>7</v>
      </c>
      <c r="D9" s="12"/>
      <c r="E9" s="12">
        <v>400</v>
      </c>
      <c r="F9" s="13" t="s">
        <v>409</v>
      </c>
      <c r="G9" s="20">
        <f t="shared" si="0"/>
        <v>0</v>
      </c>
      <c r="H9" s="14">
        <f t="shared" si="1"/>
        <v>32</v>
      </c>
      <c r="I9" s="14">
        <f t="shared" si="2"/>
        <v>32000</v>
      </c>
      <c r="J9" s="14">
        <f>3*1000*0.09</f>
        <v>270</v>
      </c>
      <c r="K9" s="14">
        <f t="shared" si="3"/>
        <v>8640</v>
      </c>
      <c r="AR9" s="16"/>
      <c r="AT9" s="9"/>
      <c r="AU9" s="9"/>
      <c r="AV9" s="9"/>
      <c r="AW9" s="19"/>
    </row>
    <row r="10" spans="1:49" s="8" customFormat="1" ht="12.75" customHeight="1" x14ac:dyDescent="0.25">
      <c r="A10" s="10"/>
      <c r="B10" s="11" t="s">
        <v>203</v>
      </c>
      <c r="C10" s="11" t="s">
        <v>7</v>
      </c>
      <c r="D10" s="12"/>
      <c r="E10" s="12">
        <v>100</v>
      </c>
      <c r="F10" s="13" t="s">
        <v>409</v>
      </c>
      <c r="G10" s="20">
        <f t="shared" si="0"/>
        <v>0</v>
      </c>
      <c r="H10" s="14">
        <f t="shared" si="1"/>
        <v>8</v>
      </c>
      <c r="I10" s="14">
        <f t="shared" si="2"/>
        <v>8000</v>
      </c>
      <c r="J10" s="14">
        <f>2.8*1000*0.09</f>
        <v>252</v>
      </c>
      <c r="K10" s="14">
        <f t="shared" si="3"/>
        <v>2016</v>
      </c>
      <c r="AR10" s="16"/>
      <c r="AT10" s="9"/>
      <c r="AU10" s="9"/>
      <c r="AV10" s="9"/>
      <c r="AW10" s="19"/>
    </row>
    <row r="11" spans="1:49" s="8" customFormat="1" ht="12.75" customHeight="1" x14ac:dyDescent="0.25">
      <c r="A11" s="10" t="s">
        <v>420</v>
      </c>
      <c r="B11" s="11" t="s">
        <v>203</v>
      </c>
      <c r="C11" s="11" t="s">
        <v>7</v>
      </c>
      <c r="D11" s="12"/>
      <c r="E11" s="12">
        <v>122</v>
      </c>
      <c r="F11" s="13" t="s">
        <v>409</v>
      </c>
      <c r="G11" s="20">
        <f>IFERROR(E11/D11,0)</f>
        <v>0</v>
      </c>
      <c r="H11" s="14"/>
      <c r="I11" s="14"/>
      <c r="J11" s="14"/>
      <c r="K11" s="14"/>
      <c r="AR11" s="16"/>
      <c r="AT11" s="9"/>
      <c r="AU11" s="9"/>
      <c r="AV11" s="9"/>
      <c r="AW11" s="19"/>
    </row>
    <row r="12" spans="1:49" s="8" customFormat="1" ht="12.75" customHeight="1" x14ac:dyDescent="0.25">
      <c r="A12" s="10" t="s">
        <v>420</v>
      </c>
      <c r="B12" s="11" t="s">
        <v>23</v>
      </c>
      <c r="C12" s="11" t="s">
        <v>7</v>
      </c>
      <c r="D12" s="12"/>
      <c r="E12" s="12"/>
      <c r="F12" s="13" t="s">
        <v>409</v>
      </c>
      <c r="G12" s="20">
        <f>IFERROR(E12/D12,0)</f>
        <v>0</v>
      </c>
      <c r="H12" s="14"/>
      <c r="I12" s="14"/>
      <c r="J12" s="14"/>
      <c r="K12" s="14"/>
      <c r="AR12" s="16"/>
      <c r="AT12" s="9"/>
      <c r="AU12" s="9"/>
      <c r="AV12" s="9"/>
      <c r="AW12" s="19"/>
    </row>
    <row r="13" spans="1:49" s="8" customFormat="1" ht="12.75" customHeight="1" x14ac:dyDescent="0.25">
      <c r="A13" s="10" t="s">
        <v>420</v>
      </c>
      <c r="B13" s="11" t="s">
        <v>205</v>
      </c>
      <c r="C13" s="11" t="s">
        <v>7</v>
      </c>
      <c r="D13" s="12"/>
      <c r="E13" s="12">
        <v>590</v>
      </c>
      <c r="F13" s="13" t="s">
        <v>409</v>
      </c>
      <c r="G13" s="20">
        <f>IFERROR(E13/D13,0)</f>
        <v>0</v>
      </c>
      <c r="H13" s="14"/>
      <c r="I13" s="14"/>
      <c r="J13" s="14"/>
      <c r="K13" s="14"/>
      <c r="AR13" s="16"/>
      <c r="AT13" s="9"/>
      <c r="AU13" s="9"/>
      <c r="AV13" s="9"/>
      <c r="AW13" s="19"/>
    </row>
    <row r="14" spans="1:49" s="8" customFormat="1" ht="12.75" customHeight="1" x14ac:dyDescent="0.25">
      <c r="A14" s="10" t="s">
        <v>420</v>
      </c>
      <c r="B14" s="11" t="s">
        <v>21</v>
      </c>
      <c r="C14" s="11" t="s">
        <v>7</v>
      </c>
      <c r="D14" s="12"/>
      <c r="E14" s="12"/>
      <c r="F14" s="13" t="s">
        <v>409</v>
      </c>
      <c r="G14" s="20">
        <f>IFERROR(E14/D14,0)</f>
        <v>0</v>
      </c>
      <c r="H14" s="14"/>
      <c r="I14" s="14"/>
      <c r="J14" s="14"/>
      <c r="K14" s="14"/>
      <c r="AR14" s="16"/>
      <c r="AT14" s="9"/>
      <c r="AU14" s="9"/>
      <c r="AV14" s="9"/>
      <c r="AW14" s="19"/>
    </row>
    <row r="15" spans="1:49" s="8" customFormat="1" ht="12.75" customHeight="1" x14ac:dyDescent="0.25">
      <c r="A15" s="10" t="s">
        <v>397</v>
      </c>
      <c r="B15" s="11" t="s">
        <v>211</v>
      </c>
      <c r="C15" s="11" t="s">
        <v>7</v>
      </c>
      <c r="D15" s="12">
        <v>1000</v>
      </c>
      <c r="E15" s="12">
        <v>1000</v>
      </c>
      <c r="F15" s="13" t="s">
        <v>409</v>
      </c>
      <c r="G15" s="20">
        <f>IFERROR(E15/D15,0)</f>
        <v>1</v>
      </c>
      <c r="H15" s="14">
        <f>I15/1000</f>
        <v>80</v>
      </c>
      <c r="I15" s="14">
        <f>D15*80</f>
        <v>80000</v>
      </c>
      <c r="J15" s="14">
        <f>K15/1000</f>
        <v>0</v>
      </c>
      <c r="K15" s="14">
        <f>70*(D15-E15)</f>
        <v>0</v>
      </c>
      <c r="AR15" s="16"/>
      <c r="AT15" s="9"/>
      <c r="AU15" s="9"/>
      <c r="AV15" s="9"/>
      <c r="AW15" s="19"/>
    </row>
    <row r="16" spans="1:49" s="8" customFormat="1" ht="12.75" customHeight="1" x14ac:dyDescent="0.25">
      <c r="A16" s="10"/>
      <c r="B16" s="11"/>
      <c r="C16" s="11"/>
      <c r="D16" s="12"/>
      <c r="E16" s="12"/>
      <c r="F16" s="13"/>
      <c r="G16" s="20"/>
      <c r="H16" s="14"/>
      <c r="I16" s="14"/>
      <c r="J16" s="14"/>
      <c r="K16" s="14"/>
      <c r="AR16" s="16"/>
      <c r="AT16" s="9"/>
      <c r="AU16" s="9"/>
      <c r="AV16" s="9"/>
      <c r="AW16" s="19"/>
    </row>
    <row r="17" spans="1:49" s="8" customFormat="1" ht="12.75" customHeight="1" x14ac:dyDescent="0.25">
      <c r="A17" s="10"/>
      <c r="B17" s="11"/>
      <c r="C17" s="11"/>
      <c r="D17" s="12"/>
      <c r="E17" s="12"/>
      <c r="F17" s="13"/>
      <c r="G17" s="20"/>
      <c r="H17" s="14"/>
      <c r="I17" s="14"/>
      <c r="J17" s="14"/>
      <c r="K17" s="14"/>
      <c r="AR17" s="16"/>
      <c r="AT17" s="9"/>
      <c r="AU17" s="9"/>
      <c r="AV17" s="9"/>
      <c r="AW17" s="19"/>
    </row>
    <row r="18" spans="1:49" x14ac:dyDescent="0.25">
      <c r="A18" s="25"/>
      <c r="B18" s="111" t="s">
        <v>1</v>
      </c>
      <c r="C18" s="111"/>
      <c r="D18" s="17">
        <f>SUBTOTAL(9,D11:D17)</f>
        <v>1000</v>
      </c>
      <c r="E18" s="17">
        <f>SUBTOTAL(9,E11:E17)</f>
        <v>1712</v>
      </c>
      <c r="F18" s="17">
        <f>E18-D18</f>
        <v>712</v>
      </c>
      <c r="G18" s="26">
        <f>E18/D18</f>
        <v>1.712</v>
      </c>
      <c r="H18" s="17">
        <f>SUBTOTAL(9,H11:H16)</f>
        <v>80</v>
      </c>
      <c r="I18" s="17">
        <f>SUBTOTAL(9,I11:I16)</f>
        <v>80000</v>
      </c>
      <c r="J18" s="17"/>
      <c r="K18" s="17">
        <f>SUM(K17:K17)</f>
        <v>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9"/>
      <c r="AS18" s="9"/>
      <c r="AT18" s="9"/>
      <c r="AU18" s="8"/>
    </row>
    <row r="23" spans="1:49" x14ac:dyDescent="0.25">
      <c r="D23" s="3"/>
      <c r="E23" s="3"/>
      <c r="F23" s="3"/>
      <c r="G23" s="3"/>
      <c r="H23" s="1"/>
      <c r="I23" s="1"/>
    </row>
    <row r="24" spans="1:49" x14ac:dyDescent="0.25">
      <c r="D24" s="3"/>
      <c r="E24" s="3"/>
      <c r="F24" s="3"/>
      <c r="G24" s="3"/>
      <c r="H24" s="1"/>
      <c r="I24" s="1"/>
    </row>
    <row r="25" spans="1:49" x14ac:dyDescent="0.25">
      <c r="D25" s="3"/>
      <c r="E25" s="3"/>
      <c r="F25" s="3"/>
      <c r="G25" s="3"/>
      <c r="H25" s="1"/>
      <c r="I25" s="1"/>
    </row>
    <row r="26" spans="1:49" x14ac:dyDescent="0.25">
      <c r="D26" s="3"/>
      <c r="E26" s="3"/>
      <c r="F26" s="3"/>
      <c r="G26" s="3"/>
      <c r="H26" s="1"/>
      <c r="I26" s="1"/>
    </row>
    <row r="27" spans="1:49" x14ac:dyDescent="0.25">
      <c r="D27" s="3"/>
      <c r="E27" s="3"/>
      <c r="F27" s="3"/>
      <c r="G27" s="3"/>
      <c r="H27" s="1"/>
      <c r="I27" s="1"/>
    </row>
    <row r="28" spans="1:49" x14ac:dyDescent="0.25">
      <c r="D28" s="3"/>
      <c r="E28" s="3"/>
      <c r="F28" s="3"/>
      <c r="G28" s="3"/>
      <c r="H28" s="1"/>
      <c r="I28" s="1"/>
    </row>
    <row r="29" spans="1:49" x14ac:dyDescent="0.25">
      <c r="D29" s="3"/>
      <c r="E29" s="3"/>
      <c r="F29" s="3"/>
      <c r="G29" s="3"/>
      <c r="H29" s="1"/>
      <c r="I29" s="1"/>
    </row>
    <row r="30" spans="1:49" x14ac:dyDescent="0.25">
      <c r="E30" s="18"/>
      <c r="G30" s="18"/>
    </row>
    <row r="31" spans="1:49" x14ac:dyDescent="0.25">
      <c r="E31" s="18"/>
      <c r="G31" s="18"/>
    </row>
    <row r="32" spans="1:49" x14ac:dyDescent="0.25">
      <c r="E32" s="18"/>
      <c r="G32" s="18"/>
    </row>
    <row r="33" spans="5:7" x14ac:dyDescent="0.25">
      <c r="E33" s="18"/>
      <c r="G33" s="18"/>
    </row>
    <row r="34" spans="5:7" x14ac:dyDescent="0.25">
      <c r="E34" s="18"/>
      <c r="G34" s="18"/>
    </row>
    <row r="35" spans="5:7" x14ac:dyDescent="0.25">
      <c r="E35" s="18"/>
      <c r="G35" s="18"/>
    </row>
  </sheetData>
  <mergeCells count="2">
    <mergeCell ref="B2:F3"/>
    <mergeCell ref="B18:C18"/>
  </mergeCells>
  <conditionalFormatting sqref="G5:G17">
    <cfRule type="iconSet" priority="25">
      <iconSet iconSet="3Symbols">
        <cfvo type="percent" val="0"/>
        <cfvo type="percent" val="33"/>
        <cfvo type="percent" val="67"/>
      </iconSet>
    </cfRule>
  </conditionalFormatting>
  <pageMargins left="0.39370078740157483" right="0" top="0" bottom="0" header="0" footer="0"/>
  <pageSetup paperSize="9" orientation="landscape" r:id="rId1"/>
  <headerFooter>
    <oddFooter>&amp;R&amp;D 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BASE!$C$2:$C$178</xm:f>
          </x14:formula1>
          <xm:sqref>B5:B17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BASE</vt:lpstr>
      <vt:lpstr>PANO</vt:lpstr>
      <vt:lpstr>Planilha2</vt:lpstr>
      <vt:lpstr>NECESSIDADE</vt:lpstr>
      <vt:lpstr>ESTOQUE</vt:lpstr>
      <vt:lpstr>BASE!Area_de_impressao</vt:lpstr>
      <vt:lpstr>ESTOQUE!Area_de_impressao</vt:lpstr>
      <vt:lpstr>PANO!Area_de_impressao</vt:lpstr>
      <vt:lpstr>BASE!Titulos_de_impressao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cafe</dc:creator>
  <cp:lastModifiedBy>Pra Café</cp:lastModifiedBy>
  <cp:lastPrinted>2026-04-10T14:14:28Z</cp:lastPrinted>
  <dcterms:created xsi:type="dcterms:W3CDTF">2025-11-03T11:10:35Z</dcterms:created>
  <dcterms:modified xsi:type="dcterms:W3CDTF">2026-04-10T14:26:20Z</dcterms:modified>
</cp:coreProperties>
</file>